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3" lowestEdited="5" rupBuild="93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9000" activeTab="4"/>
  </bookViews>
  <sheets>
    <sheet name="Posts" sheetId="1" r:id="rId1"/>
    <sheet name="Engagement Summary" sheetId="2" r:id="rId2"/>
    <sheet name="Campaign Metadata" sheetId="3" r:id="rId3"/>
    <sheet name="TASK 1 " sheetId="4" r:id="rId4"/>
    <sheet name="task -2 " sheetId="12" r:id="rId5"/>
    <sheet name="TASK 3" sheetId="7" r:id="rId6"/>
    <sheet name="TASK  4" sheetId="8" r:id="rId7"/>
    <sheet name="TASK - 5" sheetId="10" r:id="rId8"/>
    <sheet name="TASK - 6" sheetId="9" r:id="rId9"/>
    <sheet name="Recorded video clip link task 7" sheetId="16" r:id="rId10"/>
  </sheets>
  <definedNames>
    <definedName name="_xlnm._FilterDatabase" localSheetId="0" hidden="1">Posts!$A$1:$Z$301</definedName>
    <definedName name="_xlnm._FilterDatabase" localSheetId="1" hidden="1">'Engagement Summary'!$A$1:$G$201</definedName>
    <definedName name="_xlnm._FilterDatabase" localSheetId="3" hidden="1">'TASK 1 '!#REF!</definedName>
  </definedNames>
  <calcPr/>
  <pivotCaches>
    <pivotCache cacheId="0" r:id="rId11"/>
    <pivotCache cacheId="1" r:id="rId12"/>
    <pivotCache cacheId="2" r:id="rId13"/>
    <pivotCache cacheId="3" r:id="rId14"/>
    <pivotCache cacheId="4" r:id="rId15"/>
  </pivotCaches>
</workbook>
</file>

<file path=xl/calcChain.xml><?xml version="1.0" encoding="utf-8"?>
<calcChain xmlns="http://schemas.openxmlformats.org/spreadsheetml/2006/main">
  <c i="4" l="1"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</calcChain>
</file>

<file path=xl/sharedStrings.xml><?xml version="1.0" encoding="utf-8"?>
<sst xmlns="http://schemas.openxmlformats.org/spreadsheetml/2006/main">
  <si>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</si>
  <si>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</si>
  <si>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</si>
  <si>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</si>
  <si>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</si>
  <si>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</si>
  <si>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</si>
  <si>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</si>
  <si>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</si>
  <si>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</si>
  <si>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</si>
  <si>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</si>
  <si>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</si>
  <si>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</si>
  <si>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</si>
  <si>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</si>
  <si>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</si>
  <si>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</si>
  <si>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</si>
  <si>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</si>
  <si>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</si>
  <si>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</si>
  <si>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</si>
  <si>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</si>
  <si>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</si>
  <si>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</si>
  <si>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</si>
  <si>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</si>
  <si>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</si>
  <si>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</si>
  <si>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</si>
  <si>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</si>
  <si>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</si>
  <si>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</si>
  <si>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</si>
  <si>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</si>
  <si>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</si>
  <si>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</si>
  <si>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</si>
  <si>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</si>
  <si>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</si>
  <si>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</si>
  <si>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</si>
  <si>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</si>
  <si>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</si>
  <si>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</si>
  <si>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</si>
  <si>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</si>
  <si>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</si>
  <si>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</si>
  <si>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</si>
  <si>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</si>
  <si>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</si>
  <si>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</si>
  <si>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</si>
  <si>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</si>
  <si>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</si>
  <si>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</si>
  <si>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</si>
  <si>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</si>
  <si>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</si>
  <si>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</si>
  <si>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</si>
  <si>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</si>
  <si>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</si>
  <si>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</si>
  <si>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</si>
  <si>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</si>
  <si>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</si>
  <si>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</si>
  <si>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</si>
  <si>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</si>
  <si>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</si>
  <si>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</si>
  <si>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</si>
  <si>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</si>
  <si>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</si>
  <si>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</si>
  <si>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</si>
  <si>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</si>
  <si>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</si>
  <si>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</si>
  <si>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</si>
  <si>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</si>
  <si>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</si>
  <si>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</si>
  <si>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</si>
  <si>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</si>
  <si>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</si>
  <si>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</si>
  <si>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</si>
  <si>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</si>
  <si>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</si>
  <si>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</si>
  <si>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</si>
  <si>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</si>
  <si>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</si>
  <si>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</si>
  <si>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</si>
  <si>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</si>
  <si>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</si>
  <si>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</si>
  <si>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</si>
  <si>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</si>
  <si>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</si>
  <si>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</si>
  <si>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</si>
  <si>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</si>
  <si>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</si>
  <si>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</si>
  <si>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</si>
  <si>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</si>
  <si>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</si>
  <si>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</si>
  <si>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</si>
  <si>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</si>
  <si>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</si>
  <si>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</si>
  <si>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</si>
  <si>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</si>
  <si>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</si>
  <si>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</si>
  <si>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</si>
  <si>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</si>
  <si>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</si>
  <si>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</si>
  <si>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</si>
  <si>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</si>
  <si>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</si>
  <si>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</si>
  <si>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</si>
  <si>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</si>
  <si>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</si>
  <si>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</si>
  <si>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</si>
  <si>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</si>
  <si>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</si>
  <si>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</si>
  <si>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</si>
  <si>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</si>
  <si>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</si>
  <si>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</si>
  <si>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</si>
  <si>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</si>
  <si>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</si>
  <si>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</si>
  <si>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</si>
  <si>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</si>
  <si>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</si>
  <si>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</si>
  <si>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</si>
  <si>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</si>
  <si>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</si>
  <si>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</si>
  <si>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</si>
  <si>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</si>
  <si>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</si>
  <si>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</si>
  <si>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</si>
  <si>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</si>
  <si>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</si>
  <si>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</si>
  <si>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</si>
  <si>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</si>
  <si>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</si>
  <si>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</si>
  <si>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</si>
  <si>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</si>
  <si>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</si>
  <si>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</si>
  <si>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</si>
  <si>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</si>
  <si>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</si>
  <si>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</si>
  <si>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</si>
  <si>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</si>
  <si>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</si>
  <si>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</si>
  <si>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</si>
  <si>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</si>
  <si>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</si>
  <si>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</si>
  <si>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</si>
  <si>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</si>
  <si>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</si>
  <si>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</si>
  <si>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</si>
  <si>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</si>
  <si>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</si>
  <si>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</si>
  <si>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</si>
  <si>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</si>
  <si>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</si>
  <si>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</si>
  <si>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</si>
  <si>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</si>
  <si>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</si>
  <si>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</si>
  <si>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</si>
  <si>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</si>
  <si>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</si>
  <si>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</si>
  <si>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</si>
  <si>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</si>
  <si>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</si>
  <si>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</si>
  <si>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</si>
  <si>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</si>
  <si>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</si>
  <si>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</si>
  <si>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</si>
  <si>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</si>
  <si>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</si>
  <si>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</si>
  <si>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</si>
  <si>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</si>
  <si>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</si>
  <si>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</si>
  <si>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</si>
  <si>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</si>
  <si>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</si>
  <si>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</si>
  <si>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</si>
  <si>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</si>
  <si>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</si>
  <si>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</si>
  <si>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</si>
  <si>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</si>
  <si>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</si>
  <si>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</si>
  <si>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</si>
  <si>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</si>
  <si>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</si>
  <si>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</si>
  <si>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</si>
  <si>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</si>
  <si>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</si>
  <si>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</si>
  <si>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</si>
  <si>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</si>
  <si>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</si>
  <si>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</si>
  <si>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</si>
  <si>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</si>
  <si>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</si>
  <si>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</si>
  <si>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</si>
  <si>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</si>
  <si>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</si>
  <si>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</si>
  <si>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</si>
  <si>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</si>
  <si>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</si>
  <si>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</si>
  <si>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</si>
  <si>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</si>
  <si>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</si>
  <si>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</si>
  <si>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</si>
  <si>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</si>
  <si>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</si>
  <si>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</si>
  <si>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</si>
  <si>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</si>
  <si>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</si>
  <si>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</si>
  <si>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</si>
  <si>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</si>
  <si>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</si>
  <si>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</si>
  <si>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</si>
  <si>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</si>
  <si>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</si>
  <si>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</si>
  <si>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</si>
  <si>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</si>
  <si>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</si>
  <si>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</si>
  <si>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</si>
  <si>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</si>
  <si>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</si>
  <si>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</si>
  <si>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</si>
  <si>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</si>
  <si>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</si>
  <si>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</si>
  <si>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</si>
  <si>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</si>
  <si>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</si>
  <si>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</si>
  <si>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</si>
  <si>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</si>
  <si>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</si>
  <si>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</si>
  <si>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</si>
  <si>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</si>
  <si>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</si>
  <si>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</si>
  <si>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</si>
  <si>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</si>
  <si>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</si>
  <si>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</si>
  <si>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</si>
  <si>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</si>
  <si>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</si>
  <si>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</si>
  <si>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</si>
  <si>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</si>
  <si>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</si>
  <si>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</si>
  <si>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</si>
  <si>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</si>
  <si>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</si>
  <si>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</si>
  <si>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</si>
  <si>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</si>
  <si>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</si>
  <si>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</si>
  <si>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</si>
  <si>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</si>
  <si>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</si>
  <si>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</si>
  <si>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</si>
  <si>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</si>
  <si>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</si>
  <si>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</si>
  <si>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</si>
  <si>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</si>
  <si>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</si>
  <si>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</si>
  <si>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</si>
  <si>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</si>
  <si>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</si>
  <si>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</si>
  <si>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</si>
  <si>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</si>
  <si>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</si>
  <si>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</si>
  <si>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</si>
  <si>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</si>
  <si>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</si>
  <si>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</si>
  <si>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</si>
  <si>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</si>
  <si>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</si>
  <si>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</si>
  <si>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</si>
  <si>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</si>
  <si>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</si>
  <si>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</si>
  <si>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</si>
  <si>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</si>
  <si>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</si>
  <si>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</si>
  <si>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</si>
  <si>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</si>
  <si>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</si>
  <si>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</si>
  <si>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</si>
  <si>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</si>
  <si>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</si>
  <si>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</si>
  <si>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</si>
  <si>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</si>
  <si>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</si>
  <si>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</si>
  <si>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</si>
  <si>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</si>
  <si>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</si>
  <si>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</si>
  <si>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</si>
  <si>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</si>
  <si>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</si>
  <si>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</si>
  <si>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</si>
  <si>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</si>
  <si>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</si>
  <si>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</si>
  <si>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</si>
  <si>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</si>
  <si>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</si>
  <si>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</si>
  <si>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</si>
  <si>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</si>
  <si>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</si>
  <si>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</si>
  <si>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</si>
  <si>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</si>
  <si>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</si>
  <si>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</si>
  <si>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</si>
  <si>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</si>
  <si>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</si>
  <si>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</si>
  <si>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</si>
  <si>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</si>
  <si>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</si>
  <si>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</si>
  <si>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</si>
  <si>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</si>
  <si>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</si>
  <si>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</si>
  <si>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</si>
  <si>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</si>
  <si>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</si>
  <si>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</si>
  <si>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</si>
  <si>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</si>
  <si>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</si>
  <si>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</si>
  <si>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</si>
  <si>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</si>
  <si>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</si>
  <si>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</si>
  <si>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</si>
  <si>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</si>
  <si>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</si>
  <si>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</si>
  <si>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</si>
  <si>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</si>
  <si>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</si>
  <si>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</si>
  <si>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</si>
  <si>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</si>
  <si>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</si>
  <si>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</si>
  <si>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</si>
  <si>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</si>
  <si>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</si>
  <si>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</si>
  <si>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</si>
  <si>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</si>
  <si>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</si>
  <si>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</si>
  <si>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</si>
  <si>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</si>
  <si>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</si>
  <si>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</si>
  <si>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</si>
  <si>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</si>
  <si>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</si>
  <si>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</si>
  <si>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</si>
  <si>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</si>
  <si>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</si>
  <si>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</si>
  <si>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</si>
  <si>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</si>
  <si>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</si>
  <si>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</si>
  <si>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</si>
  <si>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</si>
  <si>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</si>
  <si>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</si>
  <si>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</si>
  <si>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</si>
  <si>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</si>
  <si>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</si>
  <si>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</si>
  <si>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</si>
  <si>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</si>
  <si>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</si>
  <si>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</si>
  <si>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</si>
  <si>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</si>
  <si>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</si>
  <si>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</si>
  <si>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</si>
  <si>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</si>
  <si>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</si>
  <si>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</si>
  <si>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</si>
  <si>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</si>
  <si>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</si>
  <si>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</si>
  <si>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</si>
  <si>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</si>
  <si>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</si>
  <si>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</si>
  <si>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</si>
  <si>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</si>
  <si>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</si>
  <si>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</si>
  <si>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</si>
  <si>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</si>
  <si>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</si>
  <si>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</si>
  <si>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</si>
  <si>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</si>
  <si>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</si>
  <si>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</si>
  <si>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</si>
  <si>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</si>
  <si>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</si>
  <si>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</si>
  <si>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</si>
  <si>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</si>
  <si>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</si>
  <si>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</si>
  <si>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</si>
  <si>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</si>
  <si>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</si>
  <si>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</si>
  <si>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</si>
  <si>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</si>
  <si>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</si>
  <si>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</si>
  <si>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</si>
  <si>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</si>
  <si>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</si>
  <si>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Youtube</t>
  </si>
  <si>
    <t>Linkedin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</si>
  <si>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</si>
  <si>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</si>
  <si>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</si>
  <si>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</si>
  <si>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</si>
  <si>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</si>
  <si>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</si>
  <si>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</si>
  <si>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</si>
  <si>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</si>
  <si>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</si>
  <si>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</si>
  <si>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</si>
  <si>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</si>
  <si>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</si>
  <si>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</si>
  <si>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</si>
  <si>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</si>
  <si>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</si>
  <si>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</si>
  <si>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</si>
  <si>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</si>
  <si>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</si>
  <si>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</si>
  <si>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</si>
  <si>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</si>
  <si>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</si>
  <si>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</si>
  <si>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</si>
  <si>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</si>
  <si>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</si>
  <si>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</si>
  <si>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</si>
  <si>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Post ID</t>
  </si>
  <si>
    <t>Content Type</t>
  </si>
  <si>
    <t>Hashtags 1</t>
  </si>
  <si>
    <t>Hashtags 2</t>
  </si>
  <si>
    <t>#AppleMusic</t>
  </si>
  <si>
    <t>#AppleLifestyle</t>
  </si>
  <si>
    <t>#Sustainability</t>
  </si>
  <si>
    <t>#AppleEarth</t>
  </si>
  <si>
    <t>#AppleWatch</t>
  </si>
  <si>
    <t>#Health</t>
  </si>
  <si>
    <t>#AppleEvent</t>
  </si>
  <si>
    <t>#iPadPro</t>
  </si>
  <si>
    <t>#iPhone16Launch</t>
  </si>
  <si>
    <t>#MacBookAirM3</t>
  </si>
  <si>
    <t>#AppleInnovation</t>
  </si>
  <si>
    <t>#iPhone16</t>
  </si>
  <si>
    <t>NA</t>
  </si>
  <si>
    <t>#AppleWatchUltra2</t>
  </si>
  <si>
    <t>#HealthTech</t>
  </si>
  <si>
    <t>#AppleDesign</t>
  </si>
  <si>
    <t>#Innovation</t>
  </si>
  <si>
    <t>#iPhonePhotography</t>
  </si>
  <si>
    <t xml:space="preserve">Total Likes, Shares, Comments  TASK -2 </t>
  </si>
  <si>
    <t>Average Clicks per post by Hashta</t>
  </si>
  <si>
    <t>Sum of Comments</t>
  </si>
  <si>
    <t>Sum of Shares</t>
  </si>
  <si>
    <t>Sum of Likes</t>
  </si>
  <si>
    <t>Average of Clicks</t>
  </si>
  <si>
    <t>Grand Total</t>
  </si>
  <si>
    <t>Total Likes, Shares, Comments by Content Type &amp; Platform</t>
  </si>
  <si>
    <t xml:space="preserve">create ptable platform column  add - platform /value coment share content add row</t>
  </si>
  <si>
    <t xml:space="preserve">AVG ENQ  RATE  </t>
  </si>
  <si>
    <t>Average of Engagement_Rate</t>
  </si>
  <si>
    <t>Highlight top-performing hash</t>
  </si>
  <si>
    <t xml:space="preserve"> Identify Top 10 Apple posts with highest engagement</t>
  </si>
  <si>
    <t xml:space="preserve">#AppleMusic </t>
  </si>
  <si>
    <t xml:space="preserve">#AppleWatchUltra2 </t>
  </si>
  <si>
    <t xml:space="preserve">#AppleEvent </t>
  </si>
  <si>
    <t xml:space="preserve">#AppleWatch </t>
  </si>
  <si>
    <t xml:space="preserve">#MacBookAirM3 </t>
  </si>
  <si>
    <t>platform with highest engagement</t>
  </si>
  <si>
    <t xml:space="preserve"> follower growth rates across platforms</t>
  </si>
  <si>
    <t>Sum of Unfollows</t>
  </si>
  <si>
    <t>Sum of New_Followers</t>
  </si>
  <si>
    <t xml:space="preserve"> Visualize Engagement vs. Ad Spend per platform.</t>
  </si>
  <si>
    <t>Sum of Ad_Spend</t>
  </si>
  <si>
    <t xml:space="preserve"> posts containing each hashtag</t>
  </si>
  <si>
    <t xml:space="preserve"> most frequently used Apple hashtags.</t>
  </si>
  <si>
    <t>Average of Likes</t>
  </si>
  <si>
    <t>Count of Post ID</t>
  </si>
  <si>
    <t>Compare content performance:</t>
  </si>
  <si>
    <t>Values</t>
  </si>
  <si>
    <t>Total Sum of Shares</t>
  </si>
  <si>
    <t>Total Sum of Likes</t>
  </si>
  <si>
    <t>Total Sum of Comments</t>
  </si>
  <si>
    <t xml:space="preserve"> Recommend which content type </t>
  </si>
  <si>
    <t xml:space="preserve">Content Type Recommendation youtube </t>
  </si>
  <si>
    <t>Content Type Recommendation Instagram</t>
  </si>
  <si>
    <t>Content Type Recommendation Linkedin</t>
  </si>
  <si>
    <t>Content Type Recommendation Twitter</t>
  </si>
  <si>
    <t>Best Content: Videos (product demos, launch events)</t>
  </si>
  <si>
    <t>Best Content: Carousels and Images (product shots, lifestyle content)</t>
  </si>
  <si>
    <t>Best Content: Professional posts + Product updates + Carousels</t>
  </si>
  <si>
    <t>Best Content: Short posts (tweets), updates, announcements</t>
  </si>
  <si>
    <t>Video content performs best on YouTube as it delivers high engagement and better storytelling.</t>
  </si>
  <si>
    <t>Carousel and visual content perform best on Instagram due to higher interaction and user engagement.</t>
  </si>
  <si>
    <t>Informative and professional content performs best on LinkedIn, especially for product announcements.</t>
  </si>
  <si>
    <t>Short and timely content performs best on Twitter, focusing on quick updates and announcements.</t>
  </si>
  <si>
    <t>Total &amp; Average Impressions, Likes, Clicks per Campaign</t>
  </si>
  <si>
    <t>Sum of Clicks</t>
  </si>
  <si>
    <t>Sum of Impressions</t>
  </si>
  <si>
    <t>Average of Impressions</t>
  </si>
  <si>
    <t>Measure engagement uplift during vs. before campaigns</t>
  </si>
  <si>
    <t>Average of Engagement_Uplift</t>
  </si>
  <si>
    <t xml:space="preserve"> campaign had the highest ROI</t>
  </si>
  <si>
    <t>Campaigns focused on product launches (such as iPhone and Apple Event campaigns) delivered the highest ROI, as they generated strong engagement and follower growth with relatively optimized ad spend.</t>
  </si>
  <si>
    <t xml:space="preserve">translate  in  hindi  -  iphone  and  apple   event  wala  delivered  the  highest  ROI / RETURN AND   INVEST MONEY OUTPUT   </t>
  </si>
  <si>
    <t>campaign drove the strongest follower growth</t>
  </si>
  <si>
    <t>he campaigns that drove the strongest follower growth were the product launch campaigns (especially iPhone launch and Apple Event campaigns).</t>
  </si>
  <si>
    <t xml:space="preserve">Product launch campaigns, particularly iPhone launch and Apple Event campaigns, drove the strongest follower growth as they created significant spikes in new followers across platforms.
</t>
  </si>
  <si>
    <t>weekly follower growth per platform</t>
  </si>
  <si>
    <t>Moving Averages to smooth growth trends.</t>
  </si>
  <si>
    <t>https://drive.google.com/file/d/14XyOYEXBCqk01xrQ7jDpRHBYBTkIux6r/view?usp=drive_link</t>
  </si>
</sst>
</file>

<file path=xl/styles.xml><?xml version="1.0" encoding="utf-8"?>
<styleSheet xmlns="http://schemas.openxmlformats.org/spreadsheetml/2006/main">
  <numFmts count="6">
    <numFmt numFmtId="164" formatCode="m/d/yyyy;@"/>
    <numFmt numFmtId="165" formatCode="0.00_);[Red](0.00)"/>
    <numFmt numFmtId="166" formatCode="yyyy-mm-dd hh:mm:ss"/>
    <numFmt numFmtId="167" formatCode="yyyy-mm-dd"/>
    <numFmt numFmtId="168" formatCode="yyyy-m-d"/>
    <numFmt numFmtId="169" formatCode="0.00_ "/>
  </numFmts>
  <fonts count="11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rgb="FF000000"/>
      <name val="Arial"/>
      <charset val="134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0" fillId="0" borderId="0" xfId="0" applyFont="1"/>
    <xf numFmtId="166" fontId="3" fillId="0" borderId="0" xfId="0" applyNumberFormat="1" applyFont="1" applyAlignment="1"/>
    <xf numFmtId="0" fontId="3" fillId="0" borderId="3" xfId="0" applyFont="1" applyBorder="1" applyAlignment="1">
      <alignment horizontal="right" wrapText="1"/>
    </xf>
    <xf numFmtId="167" fontId="3" fillId="0" borderId="0" xfId="0" applyNumberFormat="1" applyFont="1" applyAlignment="1"/>
    <xf numFmtId="168" fontId="3" fillId="0" borderId="0" xfId="0" applyNumberFormat="1" applyFont="1" applyAlignment="1"/>
    <xf numFmtId="0" fontId="3" fillId="0" borderId="3" xfId="0" applyFont="1" applyBorder="1" applyAlignment="1">
      <alignment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6" fontId="5" fillId="3" borderId="4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167" fontId="3" fillId="5" borderId="4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wrapText="1"/>
    </xf>
    <xf numFmtId="0" fontId="0" fillId="8" borderId="4" xfId="0" applyFont="1" applyFill="1" applyBorder="1" applyAlignment="1">
      <alignment horizontal="left"/>
    </xf>
    <xf numFmtId="0" fontId="0" fillId="8" borderId="4" xfId="0" applyFont="1" applyFill="1" applyBorder="1"/>
    <xf numFmtId="164" fontId="3" fillId="8" borderId="4" xfId="0" applyNumberFormat="1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wrapText="1"/>
    </xf>
    <xf numFmtId="165" fontId="0" fillId="9" borderId="0" xfId="0" applyNumberFormat="1" applyFont="1" applyFill="1" applyAlignment="1"/>
    <xf numFmtId="0" fontId="3" fillId="0" borderId="5" xfId="0" applyFont="1" applyBorder="1" applyAlignment="1">
      <alignment wrapText="1"/>
    </xf>
    <xf numFmtId="0" fontId="0" fillId="7" borderId="0" xfId="0" applyFont="1" applyFill="1" applyAlignment="1">
      <alignment horizontal="center"/>
    </xf>
    <xf numFmtId="0" fontId="0" fillId="0" borderId="4" xfId="0" applyFont="1" applyBorder="1" applyAlignment="1"/>
    <xf numFmtId="0" fontId="0" fillId="0" borderId="4" xfId="0" applyFont="1" applyBorder="1" applyAlignment="1">
      <alignment horizontal="center"/>
    </xf>
    <xf numFmtId="0" fontId="8" fillId="0" borderId="0" xfId="0" applyFont="1"/>
    <xf numFmtId="0" fontId="6" fillId="0" borderId="4" xfId="0" applyFont="1" applyBorder="1" applyAlignment="1"/>
    <xf numFmtId="0" fontId="0" fillId="9" borderId="0" xfId="0" applyFont="1" applyFill="1" applyAlignment="1">
      <alignment horizontal="center"/>
    </xf>
    <xf numFmtId="10" fontId="0" fillId="0" borderId="4" xfId="0" applyNumberFormat="1" applyFont="1" applyBorder="1" applyAlignment="1"/>
    <xf numFmtId="0" fontId="0" fillId="0" borderId="6" xfId="0" applyFont="1" applyBorder="1" applyAlignment="1"/>
    <xf numFmtId="169" fontId="0" fillId="0" borderId="0" xfId="0" applyNumberFormat="1" applyFont="1" applyAlignment="1"/>
    <xf numFmtId="0" fontId="0" fillId="0" borderId="4" xfId="0" applyFont="1" applyBorder="1" applyAlignment="1">
      <alignment wrapText="1"/>
    </xf>
    <xf numFmtId="0" fontId="0" fillId="0" borderId="4" xfId="0" applyFont="1" applyBorder="1" applyAlignment="1">
      <alignment vertical="top" wrapText="1"/>
    </xf>
    <xf numFmtId="0" fontId="0" fillId="0" borderId="0" xfId="0" applyFont="1" applyAlignment="1">
      <alignment wrapText="1"/>
    </xf>
    <xf numFmtId="0" fontId="0" fillId="7" borderId="0" xfId="0" applyFont="1" applyFill="1" applyAlignment="1">
      <alignment wrapText="1"/>
    </xf>
    <xf numFmtId="0" fontId="0" fillId="0" borderId="7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9" fillId="7" borderId="4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0" fillId="0" borderId="0" xfId="0" applyNumberFormat="1" applyFont="1" applyAlignment="1">
      <alignment shrinkToFit="1"/>
    </xf>
    <xf numFmtId="0" fontId="0" fillId="0" borderId="0" xfId="0" applyNumberFormat="1" applyFont="1" applyAlignment="1"/>
  </cellXfs>
  <cellStyles count="1">
    <cellStyle name="Normal" xfId="0" builtinId="0"/>
  </cellStyles>
  <dxfs count="23">
    <dxf>
      <numFmt numFmtId="170" formatCode="0.00000_ "/>
    </dxf>
    <dxf>
      <numFmt numFmtId="171" formatCode="0.0000_ "/>
    </dxf>
    <dxf>
      <numFmt numFmtId="172" formatCode="0.000_ "/>
    </dxf>
    <dxf>
      <numFmt numFmtId="169" formatCode="0.0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sz val="10"/>
      </font>
    </dxf>
    <dxf>
      <font>
        <sz val="9"/>
      </font>
    </dxf>
    <dxf>
      <alignment horizontal="center"/>
    </dxf>
    <dxf>
      <numFmt numFmtId="173" formatCode="0.000000_ "/>
    </dxf>
    <dxf>
      <numFmt numFmtId="174" formatCode="0.0_ "/>
    </dxf>
    <dxf>
      <numFmt numFmtId="175" formatCode="0.0000000_ 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1"/>
      <tableStyleElement type="headerRow" dxfId="12"/>
      <tableStyleElement type="totalRow" dxfId="13"/>
      <tableStyleElement type="firstColumn" dxfId="14"/>
      <tableStyleElement type="lastColumn" dxfId="14"/>
      <tableStyleElement type="firstRowStripe" dxfId="15"/>
      <tableStyleElement type="firstColumnStripe" dxfId="15"/>
    </tableStyle>
    <tableStyle name="PivotStylePreset2_Accent1" table="0" count="10">
      <tableStyleElement type="headerRow" dxfId="16"/>
      <tableStyleElement type="totalRow" dxfId="17"/>
      <tableStyleElement type="firstRowStripe" dxfId="15"/>
      <tableStyleElement type="firstColumnStripe" dxfId="15"/>
      <tableStyleElement type="firstSubtotalRow" dxfId="18"/>
      <tableStyleElement type="secondSubtotalRow" dxfId="14"/>
      <tableStyleElement type="firstRowSubheading" dxfId="19"/>
      <tableStyleElement type="secondRowSubheading" dxfId="20"/>
      <tableStyleElement type="pageFieldLabels" dxfId="21"/>
      <tableStyleElement type="pageFieldValues" dxfId="22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pivotCacheDefinition" Target="pivotCache/pivotCacheDefinition1.xml" /><Relationship Id="rId12" Type="http://schemas.openxmlformats.org/officeDocument/2006/relationships/pivotCacheDefinition" Target="pivotCache/pivotCacheDefinition2.xml" /><Relationship Id="rId13" Type="http://schemas.openxmlformats.org/officeDocument/2006/relationships/pivotCacheDefinition" Target="pivotCache/pivotCacheDefinition3.xml" /><Relationship Id="rId14" Type="http://schemas.openxmlformats.org/officeDocument/2006/relationships/pivotCacheDefinition" Target="pivotCache/pivotCacheDefinition4.xml" /><Relationship Id="rId15" Type="http://schemas.openxmlformats.org/officeDocument/2006/relationships/pivotCacheDefinition" Target="pivotCache/pivotCacheDefinition5.xml" /><Relationship Id="rId16" Type="http://schemas.openxmlformats.org/officeDocument/2006/relationships/styles" Target="styles.xml" /><Relationship Id="rId17" Type="http://schemas.openxmlformats.org/officeDocument/2006/relationships/theme" Target="theme/theme1.xml" /><Relationship Id="rId18" Type="http://schemas.openxmlformats.org/officeDocument/2006/relationships/calcChain" Target="calcChain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 task  LATE NGHT WRK.xlsx]TASK - 6!PivotTable2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'TASK - 6'!$C$2:$C$3</c:f>
              <c:strCache>
                <c:ptCount val="1"/>
                <c:pt idx="0">
                  <c:v>Platform 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- 6'!$B$4:$B$54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Grand Total</c:v>
                </c:pt>
              </c:strCache>
            </c:strRef>
          </c:cat>
          <c:val>
            <c:numRef>
              <c:f>'TASK - 6'!$C$4:$C$54</c:f>
              <c:numCache>
                <c:formatCode>General</c:formatCode>
                <c:ptCount val="51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5">
                  <c:v>0</c:v>
                </c:pt>
                <c:pt idx="6">
                  <c:v>5500</c:v>
                </c:pt>
                <c:pt idx="7">
                  <c:v>0</c:v>
                </c:pt>
                <c:pt idx="8">
                  <c:v>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5">
                  <c:v>0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19">
                  <c:v>0</c:v>
                </c:pt>
                <c:pt idx="20">
                  <c:v>26389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1">
                  <c:v>0</c:v>
                </c:pt>
                <c:pt idx="32">
                  <c:v>3247</c:v>
                </c:pt>
                <c:pt idx="33">
                  <c:v>0</c:v>
                </c:pt>
                <c:pt idx="34">
                  <c:v>4271</c:v>
                </c:pt>
                <c:pt idx="35">
                  <c:v>0</c:v>
                </c:pt>
                <c:pt idx="36">
                  <c:v>0</c:v>
                </c:pt>
                <c:pt idx="37">
                  <c:v>12840</c:v>
                </c:pt>
                <c:pt idx="38">
                  <c:v>16193</c:v>
                </c:pt>
                <c:pt idx="39">
                  <c:v>0</c:v>
                </c:pt>
                <c:pt idx="40">
                  <c:v>3376</c:v>
                </c:pt>
                <c:pt idx="41">
                  <c:v>9569</c:v>
                </c:pt>
                <c:pt idx="42">
                  <c:v>0</c:v>
                </c:pt>
                <c:pt idx="43">
                  <c:v>6607</c:v>
                </c:pt>
                <c:pt idx="44">
                  <c:v>1521</c:v>
                </c:pt>
                <c:pt idx="45">
                  <c:v>0</c:v>
                </c:pt>
                <c:pt idx="46">
                  <c:v>16669</c:v>
                </c:pt>
                <c:pt idx="47">
                  <c:v>0</c:v>
                </c:pt>
                <c:pt idx="48">
                  <c:v>8697</c:v>
                </c:pt>
                <c:pt idx="49">
                  <c:v>3196</c:v>
                </c:pt>
                <c:pt idx="50">
                  <c:v>290063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 - 6'!$D$2:$D$3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'TASK - 6'!$B$4:$B$54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Grand Total</c:v>
                </c:pt>
              </c:strCache>
            </c:strRef>
          </c:cat>
          <c:val>
            <c:numRef>
              <c:f>'TASK - 6'!$D$4:$D$54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7097</c:v>
                </c:pt>
                <c:pt idx="3">
                  <c:v>0</c:v>
                </c:pt>
                <c:pt idx="4">
                  <c:v>5917</c:v>
                </c:pt>
                <c:pt idx="5">
                  <c:v>12349</c:v>
                </c:pt>
                <c:pt idx="6">
                  <c:v>0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0">
                  <c:v>0</c:v>
                </c:pt>
                <c:pt idx="11">
                  <c:v>0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6">
                  <c:v>0</c:v>
                </c:pt>
                <c:pt idx="17">
                  <c:v>0</c:v>
                </c:pt>
                <c:pt idx="18">
                  <c:v>2549</c:v>
                </c:pt>
                <c:pt idx="19">
                  <c:v>0</c:v>
                </c:pt>
                <c:pt idx="20">
                  <c:v>0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3">
                  <c:v>0</c:v>
                </c:pt>
                <c:pt idx="34">
                  <c:v>8083</c:v>
                </c:pt>
                <c:pt idx="35">
                  <c:v>0</c:v>
                </c:pt>
                <c:pt idx="36">
                  <c:v>13799</c:v>
                </c:pt>
                <c:pt idx="37">
                  <c:v>5531</c:v>
                </c:pt>
                <c:pt idx="38">
                  <c:v>0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6">
                  <c:v>0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  <c:pt idx="50">
                  <c:v>320378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'TASK - 6'!$E$2:$E$3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'TASK - 6'!$B$4:$B$54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Grand Total</c:v>
                </c:pt>
              </c:strCache>
            </c:strRef>
          </c:cat>
          <c:val>
            <c:numRef>
              <c:f>'TASK - 6'!$E$4:$E$54</c:f>
              <c:numCache>
                <c:formatCode>General</c:formatCode>
                <c:ptCount val="51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1">
                  <c:v>0</c:v>
                </c:pt>
                <c:pt idx="12">
                  <c:v>6175</c:v>
                </c:pt>
                <c:pt idx="13">
                  <c:v>7406</c:v>
                </c:pt>
                <c:pt idx="14">
                  <c:v>0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8">
                  <c:v>0</c:v>
                </c:pt>
                <c:pt idx="19">
                  <c:v>18028</c:v>
                </c:pt>
                <c:pt idx="20">
                  <c:v>0</c:v>
                </c:pt>
                <c:pt idx="21">
                  <c:v>0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5">
                  <c:v>0</c:v>
                </c:pt>
                <c:pt idx="26">
                  <c:v>0</c:v>
                </c:pt>
                <c:pt idx="27">
                  <c:v>7164</c:v>
                </c:pt>
                <c:pt idx="28">
                  <c:v>7272</c:v>
                </c:pt>
                <c:pt idx="29">
                  <c:v>0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8">
                  <c:v>0</c:v>
                </c:pt>
                <c:pt idx="39">
                  <c:v>7085</c:v>
                </c:pt>
                <c:pt idx="40">
                  <c:v>9551</c:v>
                </c:pt>
                <c:pt idx="41">
                  <c:v>0</c:v>
                </c:pt>
                <c:pt idx="42">
                  <c:v>0</c:v>
                </c:pt>
                <c:pt idx="43">
                  <c:v>6978</c:v>
                </c:pt>
                <c:pt idx="44">
                  <c:v>9714</c:v>
                </c:pt>
                <c:pt idx="45">
                  <c:v>0</c:v>
                </c:pt>
                <c:pt idx="46">
                  <c:v>8128</c:v>
                </c:pt>
                <c:pt idx="47">
                  <c:v>17532</c:v>
                </c:pt>
                <c:pt idx="48">
                  <c:v>0</c:v>
                </c:pt>
                <c:pt idx="49">
                  <c:v>8527</c:v>
                </c:pt>
                <c:pt idx="50">
                  <c:v>338307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'TASK - 6'!$F$2:$F$3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'TASK - 6'!$B$4:$B$54</c:f>
              <c:strCache>
                <c:ptCount val="51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Grand Total</c:v>
                </c:pt>
              </c:strCache>
            </c:strRef>
          </c:cat>
          <c:val>
            <c:numRef>
              <c:f>'TASK - 6'!$F$4:$F$54</c:f>
              <c:numCache>
                <c:formatCode>General</c:formatCode>
                <c:ptCount val="51"/>
                <c:pt idx="0">
                  <c:v>18106</c:v>
                </c:pt>
                <c:pt idx="1">
                  <c:v>8002</c:v>
                </c:pt>
                <c:pt idx="2">
                  <c:v>0</c:v>
                </c:pt>
                <c:pt idx="3">
                  <c:v>9286</c:v>
                </c:pt>
                <c:pt idx="4">
                  <c:v>0</c:v>
                </c:pt>
                <c:pt idx="5">
                  <c:v>0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3">
                  <c:v>0</c:v>
                </c:pt>
                <c:pt idx="14">
                  <c:v>12438</c:v>
                </c:pt>
                <c:pt idx="15">
                  <c:v>10331</c:v>
                </c:pt>
                <c:pt idx="16">
                  <c:v>0</c:v>
                </c:pt>
                <c:pt idx="17">
                  <c:v>0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4">
                  <c:v>0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8">
                  <c:v>0</c:v>
                </c:pt>
                <c:pt idx="29">
                  <c:v>8177</c:v>
                </c:pt>
                <c:pt idx="30">
                  <c:v>0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4">
                  <c:v>0</c:v>
                </c:pt>
                <c:pt idx="35">
                  <c:v>14055</c:v>
                </c:pt>
                <c:pt idx="36">
                  <c:v>0</c:v>
                </c:pt>
                <c:pt idx="37">
                  <c:v>0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1">
                  <c:v>0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5875</c:v>
                </c:pt>
                <c:pt idx="49">
                  <c:v>0</c:v>
                </c:pt>
                <c:pt idx="50">
                  <c:v>256440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1</xdr:row>
      <xdr:rowOff>60960</xdr:rowOff>
    </xdr:from>
    <xdr:to>
      <xdr:col>27</xdr:col>
      <xdr:colOff>497840</xdr:colOff>
      <xdr:row>25</xdr:row>
      <xdr:rowOff>83820</xdr:rowOff>
    </xdr:to>
    <xdr:graphicFrame macro="">
      <xdr:nvGraphicFramePr>
        <xdr:cNvPr id="2" name="Chart 1"/>
        <xdr:cNvGraphicFramePr/>
      </xdr:nvGraphicFramePr>
      <xdr:xfrm>
        <a:off x="6499860" y="480060"/>
        <a:ext cx="13611860" cy="4411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_rels/pivotCacheDefinition4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4.xml" /></Relationships>
</file>

<file path=xl/pivotCache/_rels/pivotCacheDefinition5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5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chauh" refreshedDate="46140.0131134259" createdVersion="5" refreshedVersion="5" minRefreshableVersion="3" recordCount="301">
  <cacheSource type="worksheet">
    <worksheetSource sheet="TASK 1 " ref="$A:$M"/>
  </cacheSource>
  <cacheFields count="13">
    <cacheField name="Post ID" numFmtId="0">
      <sharedItems containsBlank="1" count="301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  <m/>
      </sharedItems>
    </cacheField>
    <cacheField name="linkedin" numFmtId="0">
      <sharedItems containsBlank="1" count="5">
        <s v="Youtube"/>
        <s v="Linkedin"/>
        <s v="Instagram"/>
        <s v="Twitter"/>
        <m/>
      </sharedItems>
    </cacheField>
    <cacheField name="Date" numFmtId="0">
      <sharedItems containsNonDate="0" containsDate="1" containsString="0" containsBlank="1" minDate="2024-01-06T00:00:00" maxDate="2025-12-10T00:00:00" count="211">
        <d v="2024-12-23T00:00:00"/>
        <d v="2025-03-09T00:00:00"/>
        <d v="2025-12-05T00:00:00"/>
        <d v="2024-12-08T00:00:00"/>
        <d v="2025-04-09T00:00:00"/>
        <d v="2025-05-09T00:00:00"/>
        <d v="2024-06-24T00:00:00"/>
        <d v="2024-07-13T00:00:00"/>
        <d v="2024-08-30T00:00:00"/>
        <d v="2025-11-03T00:00:00"/>
        <d v="2025-02-02T00:00:00"/>
        <d v="2024-07-21T00:00:00"/>
        <d v="2024-11-18T00:00:00"/>
        <d v="2025-06-09T00:00:00"/>
        <d v="2025-07-09T00:00:00"/>
        <d v="2024-08-26T00:00:00"/>
        <d v="2025-05-05T00:00:00"/>
        <d v="2024-08-19T00:00:00"/>
        <d v="2024-06-23T00:00:00"/>
        <d v="2024-09-09T00:00:00"/>
        <d v="2025-08-09T00:00:00"/>
        <d v="2025-02-27T00:00:00"/>
        <d v="2024-06-11T00:00:00"/>
        <d v="2025-01-23T00:00:00"/>
        <d v="2025-09-09T00:00:00"/>
        <d v="2025-05-04T00:00:00"/>
        <d v="2024-09-17T00:00:00"/>
        <d v="2025-04-03T00:00:00"/>
        <d v="2025-10-09T00:00:00"/>
        <d v="2025-02-25T00:00:00"/>
        <d v="2024-12-16T00:00:00"/>
        <d v="2024-07-31T00:00:00"/>
        <d v="2025-11-09T00:00:00"/>
        <d v="2025-12-09T00:00:00"/>
        <d v="2024-11-30T00:00:00"/>
        <d v="2025-04-19T00:00:00"/>
        <d v="2025-06-01T00:00:00"/>
        <d v="2025-02-17T00:00:00"/>
        <d v="2025-09-13T00:00:00"/>
        <d v="2025-09-14T00:00:00"/>
        <d v="2025-09-15T00:00:00"/>
        <d v="2025-05-03T00:00:00"/>
        <d v="2025-09-16T00:00:00"/>
        <d v="2025-02-03T00:00:00"/>
        <d v="2025-09-17T00:00:00"/>
        <d v="2025-02-05T00:00:00"/>
        <d v="2025-02-24T00:00:00"/>
        <d v="2025-09-18T00:00:00"/>
        <d v="2024-03-07T00:00:00"/>
        <d v="2024-06-13T00:00:00"/>
        <d v="2025-09-19T00:00:00"/>
        <d v="2025-03-13T00:00:00"/>
        <d v="2024-06-17T00:00:00"/>
        <d v="2024-12-18T00:00:00"/>
        <d v="2024-10-21T00:00:00"/>
        <d v="2025-04-15T00:00:00"/>
        <d v="2024-06-22T00:00:00"/>
        <d v="2025-01-28T00:00:00"/>
        <d v="2024-05-09T00:00:00"/>
        <d v="2025-09-20T00:00:00"/>
        <d v="2024-08-17T00:00:00"/>
        <d v="2025-03-28T00:00:00"/>
        <d v="2024-07-26T00:00:00"/>
        <d v="2025-03-29T00:00:00"/>
        <d v="2024-08-12T00:00:00"/>
        <d v="2025-08-03T00:00:00"/>
        <d v="2025-02-04T00:00:00"/>
        <d v="2024-02-09T00:00:00"/>
        <d v="2025-03-03T00:00:00"/>
        <d v="2025-09-21T00:00:00"/>
        <d v="2024-10-28T00:00:00"/>
        <d v="2024-01-08T00:00:00"/>
        <d v="2024-07-11T00:00:00"/>
        <d v="2025-09-22T00:00:00"/>
        <d v="2024-10-19T00:00:00"/>
        <d v="2024-07-24T00:00:00"/>
        <d v="2024-10-15T00:00:00"/>
        <d v="2024-09-12T00:00:00"/>
        <d v="2025-01-27T00:00:00"/>
        <d v="2024-06-06T00:00:00"/>
        <d v="2024-07-07T00:00:00"/>
        <d v="2025-09-23T00:00:00"/>
        <d v="2024-03-06T00:00:00"/>
        <d v="2025-09-24T00:00:00"/>
        <d v="2024-11-12T00:00:00"/>
        <d v="2024-08-11T00:00:00"/>
        <d v="2024-10-09T00:00:00"/>
        <d v="2024-08-13T00:00:00"/>
        <d v="2024-10-06T00:00:00"/>
        <d v="2024-02-07T00:00:00"/>
        <d v="2025-09-25T00:00:00"/>
        <d v="2024-10-18T00:00:00"/>
        <d v="2025-09-26T00:00:00"/>
        <d v="2025-09-27T00:00:00"/>
        <d v="2025-03-23T00:00:00"/>
        <d v="2024-06-14T00:00:00"/>
        <d v="2025-04-02T00:00:00"/>
        <d v="2024-06-21T00:00:00"/>
        <d v="2025-09-28T00:00:00"/>
        <d v="2024-08-08T00:00:00"/>
        <d v="2024-07-29T00:00:00"/>
        <d v="2024-11-23T00:00:00"/>
        <d v="2024-05-10T00:00:00"/>
        <d v="2025-09-29T00:00:00"/>
        <d v="2024-11-14T00:00:00"/>
        <d v="2025-09-30T00:00:00"/>
        <d v="2025-03-18T00:00:00"/>
        <d v="2024-04-11T00:00:00"/>
        <d v="2025-07-02T00:00:00"/>
        <d v="2024-02-10T00:00:00"/>
        <d v="2025-06-04T00:00:00"/>
        <d v="2024-08-09T00:00:00"/>
        <d v="2025-10-01T00:00:00"/>
        <d v="2024-09-29T00:00:00"/>
        <d v="2025-06-02T00:00:00"/>
        <d v="2025-01-10T00:00:00"/>
        <d v="2024-11-28T00:00:00"/>
        <d v="2025-02-10T00:00:00"/>
        <d v="2024-10-29T00:00:00"/>
        <d v="2024-07-15T00:00:00"/>
        <d v="2025-03-10T00:00:00"/>
        <d v="2025-03-25T00:00:00"/>
        <d v="2024-05-06T00:00:00"/>
        <d v="2024-06-16T00:00:00"/>
        <d v="2024-08-22T00:00:00"/>
        <d v="2025-04-10T00:00:00"/>
        <d v="2025-01-01T00:00:00"/>
        <d v="2024-09-10T00:00:00"/>
        <d v="2024-12-21T00:00:00"/>
        <d v="2024-10-22T00:00:00"/>
        <d v="2024-07-23T00:00:00"/>
        <d v="2024-11-08T00:00:00"/>
        <d v="2025-05-10T00:00:00"/>
        <d v="2024-08-24T00:00:00"/>
        <d v="2025-06-10T00:00:00"/>
        <d v="2025-01-04T00:00:00"/>
        <d v="2025-08-04T00:00:00"/>
        <d v="2025-07-10T00:00:00"/>
        <d v="2025-02-16T00:00:00"/>
        <d v="2024-12-11T00:00:00"/>
        <d v="2024-03-12T00:00:00"/>
        <d v="2025-04-28T00:00:00"/>
        <d v="2024-12-31T00:00:00"/>
        <d v="2024-08-14T00:00:00"/>
        <d v="2024-05-12T00:00:00"/>
        <d v="2025-08-10T00:00:00"/>
        <d v="2025-09-10T00:00:00"/>
        <d v="2024-10-07T00:00:00"/>
        <d v="2025-10-10T00:00:00"/>
        <d v="2025-11-10T00:00:00"/>
        <d v="2025-12-10T00:00:00"/>
        <d v="2024-12-17T00:00:00"/>
        <d v="2025-10-13T00:00:00"/>
        <d v="2025-11-01T00:00:00"/>
        <d v="2024-12-22T00:00:00"/>
        <d v="2025-03-24T00:00:00"/>
        <d v="2024-04-10T00:00:00"/>
        <d v="2025-10-14T00:00:00"/>
        <d v="2025-10-15T00:00:00"/>
        <d v="2024-11-09T00:00:00"/>
        <d v="2024-08-15T00:00:00"/>
        <d v="2025-07-04T00:00:00"/>
        <d v="2025-01-15T00:00:00"/>
        <d v="2024-11-21T00:00:00"/>
        <d v="2024-12-29T00:00:00"/>
        <d v="2025-03-19T00:00:00"/>
        <d v="2025-02-19T00:00:00"/>
        <d v="2025-01-05T00:00:00"/>
        <d v="2024-11-06T00:00:00"/>
        <d v="2024-02-06T00:00:00"/>
        <d v="2024-08-10T00:00:00"/>
        <d v="2024-06-20T00:00:00"/>
        <d v="2024-12-06T00:00:00"/>
        <d v="2024-01-07T00:00:00"/>
        <d v="2025-04-29T00:00:00"/>
        <d v="2024-01-06T00:00:00"/>
        <d v="2024-07-16T00:00:00"/>
        <d v="2025-01-18T00:00:00"/>
        <d v="2025-06-03T00:00:00"/>
        <d v="2025-12-01T00:00:00"/>
        <d v="2024-11-10T00:00:00"/>
        <d v="2024-08-27T00:00:00"/>
        <d v="2024-07-18T00:00:00"/>
        <d v="2025-01-14T00:00:00"/>
        <d v="2025-03-04T00:00:00"/>
        <d v="2024-05-08T00:00:00"/>
        <d v="2025-10-02T00:00:00"/>
        <d v="2025-12-02T00:00:00"/>
        <d v="2024-10-27T00:00:00"/>
        <d v="2024-08-20T00:00:00"/>
        <d v="2025-01-30T00:00:00"/>
        <d v="2025-02-20T00:00:00"/>
        <d v="2024-11-25T00:00:00"/>
        <d v="2025-04-13T00:00:00"/>
        <d v="2024-05-11T00:00:00"/>
        <d v="2024-10-17T00:00:00"/>
        <d v="2025-03-27T00:00:00"/>
        <d v="2024-12-10T00:00:00"/>
        <d v="2024-07-06T00:00:00"/>
        <d v="2024-11-26T00:00:00"/>
        <d v="2025-03-22T00:00:00"/>
        <d v="2024-03-10T00:00:00"/>
        <d v="2025-09-05T00:00:00"/>
        <d v="2025-04-17T00:00:00"/>
        <d v="2024-11-17T00:00:00"/>
        <d v="2025-05-14T00:00:00"/>
        <d v="2024-06-19T00:00:00"/>
        <d v="2025-06-05T00:00:00"/>
        <d v="2025-11-02T00:00:00"/>
        <d v="2024-12-24T00:00:00"/>
        <m/>
      </sharedItems>
    </cacheField>
    <cacheField name="Content Type" numFmtId="0">
      <sharedItems containsBlank="1" count="5">
        <s v="Image"/>
        <s v="Tweet"/>
        <s v="Video"/>
        <s v="Carousel"/>
        <m/>
      </sharedItems>
    </cacheField>
    <cacheField name="Hashtags 1" numFmtId="0">
      <sharedItems containsBlank="1" count="12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m/>
      </sharedItems>
    </cacheField>
    <cacheField name="Hashtags 2" numFmtId="0">
      <sharedItems containsBlank="1" count="12">
        <s v="#HealthTech"/>
        <s v="#AppleInnovation"/>
        <s v="#Innovation"/>
        <s v="#iPadPro"/>
        <s v="NA"/>
        <s v="#AppleLifestyle"/>
        <s v="#Health"/>
        <s v="#AppleEvent"/>
        <s v="#iPhone16"/>
        <s v="#ShotOniPhone"/>
        <s v="#AppleEarth"/>
        <m/>
      </sharedItems>
    </cacheField>
    <cacheField name="Likes" numFmtId="0">
      <sharedItems containsString="0" containsBlank="1" containsNumber="1" containsInteger="1" minValue="0" maxValue="24984" count="297">
        <n v="24516"/>
        <n v="4779"/>
        <n v="19308"/>
        <n v="3581"/>
        <n v="21708"/>
        <n v="14677"/>
        <n v="7713"/>
        <n v="18639"/>
        <n v="6804"/>
        <n v="20222"/>
        <n v="12136"/>
        <n v="2009"/>
        <n v="21255"/>
        <n v="7124"/>
        <n v="3015"/>
        <n v="4193"/>
        <n v="10415"/>
        <n v="15550"/>
        <n v="16512"/>
        <n v="6158"/>
        <n v="22309"/>
        <n v="8970"/>
        <n v="8938"/>
        <n v="23168"/>
        <n v="15772"/>
        <n v="22384"/>
        <n v="20017"/>
        <n v="12344"/>
        <n v="9266"/>
        <n v="10702"/>
        <n v="2384"/>
        <n v="2404"/>
        <n v="10175"/>
        <n v="17158"/>
        <n v="14763"/>
        <n v="20384"/>
        <n v="11860"/>
        <n v="7989"/>
        <n v="17106"/>
        <n v="19844"/>
        <n v="5636"/>
        <n v="12916"/>
        <n v="6809"/>
        <n v="22562"/>
        <n v="15456"/>
        <n v="17444"/>
        <n v="24984"/>
        <n v="7997"/>
        <n v="4048"/>
        <n v="14338"/>
        <n v="23164"/>
        <n v="19100"/>
        <n v="23949"/>
        <n v="6544"/>
        <n v="6976"/>
        <n v="14775"/>
        <n v="12015"/>
        <n v="5419"/>
        <n v="16430"/>
        <n v="9239"/>
        <n v="16489"/>
        <n v="18633"/>
        <n v="12357"/>
        <n v="19154"/>
        <n v="6363"/>
        <n v="12176"/>
        <n v="19461"/>
        <n v="10427"/>
        <n v="10580"/>
        <n v="6858"/>
        <n v="12040"/>
        <n v="24928"/>
        <n v="23103"/>
        <n v="21198"/>
        <n v="21758"/>
        <n v="17254"/>
        <n v="13470"/>
        <n v="3252"/>
        <n v="8996"/>
        <n v="14173"/>
        <n v="6673"/>
        <n v="22914"/>
        <n v="17781"/>
        <n v="15051"/>
        <n v="8881"/>
        <n v="8949"/>
        <n v="11521"/>
        <n v="24625"/>
        <n v="10017"/>
        <n v="8941"/>
        <n v="12209"/>
        <n v="19715"/>
        <n v="22645"/>
        <n v="11550"/>
        <n v="23499"/>
        <n v="6637"/>
        <n v="6854"/>
        <n v="21561"/>
        <n v="12320"/>
        <n v="20564"/>
        <n v="6892"/>
        <n v="9043"/>
        <n v="18521"/>
        <n v="24711"/>
        <n v="21856"/>
        <n v="23833"/>
        <n v="21216"/>
        <n v="21963"/>
        <n v="24355"/>
        <n v="6164"/>
        <n v="9941"/>
        <n v="16388"/>
        <n v="7569"/>
        <n v="6300"/>
        <n v="8269"/>
        <n v="5818"/>
        <n v="14015"/>
        <n v="14234"/>
        <n v="20290"/>
        <n v="8254"/>
        <n v="19144"/>
        <n v="9350"/>
        <n v="17183"/>
        <n v="8238"/>
        <n v="8090"/>
        <n v="13637"/>
        <n v="24415"/>
        <n v="14647"/>
        <n v="11911"/>
        <n v="10472"/>
        <n v="20271"/>
        <n v="5266"/>
        <n v="2666"/>
        <n v="6188"/>
        <n v="19055"/>
        <n v="12161"/>
        <n v="13314"/>
        <n v="23508"/>
        <n v="23969"/>
        <n v="14891"/>
        <n v="6777"/>
        <n v="5900"/>
        <n v="15716"/>
        <n v="8981"/>
        <n v="8376"/>
        <n v="18907"/>
        <n v="20777"/>
        <n v="20977"/>
        <n v="12160"/>
        <n v="16124"/>
        <n v="18282"/>
        <n v="12488"/>
        <n v="24574"/>
        <n v="7240"/>
        <n v="12453"/>
        <n v="12478"/>
        <n v="24877"/>
        <n v="14394"/>
        <n v="21262"/>
        <n v="22527"/>
        <n v="22028"/>
        <n v="6432"/>
        <n v="15568"/>
        <n v="16178"/>
        <n v="19660"/>
        <n v="24195"/>
        <n v="2302"/>
        <n v="19022"/>
        <n v="2055"/>
        <n v="15013"/>
        <n v="10717"/>
        <n v="10150"/>
        <n v="4125"/>
        <n v="13479"/>
        <n v="17745"/>
        <n v="18748"/>
        <n v="8809"/>
        <n v="6621"/>
        <n v="17034"/>
        <n v="15623"/>
        <n v="7126"/>
        <n v="7122"/>
        <n v="20030"/>
        <n v="19302"/>
        <n v="21181"/>
        <n v="24890"/>
        <n v="7870"/>
        <n v="3531"/>
        <n v="10172"/>
        <n v="21729"/>
        <n v="9673"/>
        <n v="8882"/>
        <n v="3906"/>
        <n v="5086"/>
        <n v="15503"/>
        <n v="10152"/>
        <n v="7750"/>
        <n v="14772"/>
        <n v="12267"/>
        <n v="3062"/>
        <n v="20360"/>
        <n v="19680"/>
        <n v="8229"/>
        <n v="18509"/>
        <n v="17147"/>
        <n v="6632"/>
        <n v="8288"/>
        <n v="5596"/>
        <n v="13475"/>
        <n v="8168"/>
        <n v="11795"/>
        <n v="9561"/>
        <n v="10258"/>
        <n v="18616"/>
        <n v="8371"/>
        <n v="22590"/>
        <n v="16369"/>
        <n v="14910"/>
        <n v="9943"/>
        <n v="14199"/>
        <n v="17728"/>
        <n v="8738"/>
        <n v="17913"/>
        <n v="4472"/>
        <n v="21123"/>
        <n v="23785"/>
        <n v="17679"/>
        <n v="3761"/>
        <n v="12167"/>
        <n v="12554"/>
        <n v="19260"/>
        <n v="16277"/>
        <n v="5812"/>
        <n v="20117"/>
        <n v="3605"/>
        <n v="7622"/>
        <n v="8767"/>
        <n v="13613"/>
        <n v="21901"/>
        <n v="12589"/>
        <n v="15918"/>
        <n v="22119"/>
        <n v="15046"/>
        <n v="4590"/>
        <n v="19447"/>
        <n v="6324"/>
        <n v="12787"/>
        <n v="11111"/>
        <n v="7342"/>
        <n v="18389"/>
        <n v="10659"/>
        <n v="16043"/>
        <n v="24350"/>
        <n v="10837"/>
        <n v="2117"/>
        <n v="15917"/>
        <n v="20935"/>
        <n v="16309"/>
        <n v="15234"/>
        <n v="7560"/>
        <n v="22673"/>
        <n v="2846"/>
        <n v="12954"/>
        <n v="15703"/>
        <n v="17385"/>
        <n v="15746"/>
        <n v="24700"/>
        <n v="8469"/>
        <n v="11333"/>
        <n v="18608"/>
        <n v="14819"/>
        <n v="6208"/>
        <n v="8283"/>
        <n v="8233"/>
        <n v="14941"/>
        <n v="14607"/>
        <n v="11765"/>
        <n v="3828"/>
        <n v="3917"/>
        <n v="22618"/>
        <n v="8988"/>
        <n v="20410"/>
        <n v="16594"/>
        <n v="22128"/>
        <n v="14977"/>
        <n v="18644"/>
        <n v="24422"/>
        <n v="11865"/>
        <n v="4219"/>
        <n v="9041"/>
        <n v="20444"/>
        <n v="7287"/>
        <n v="3619"/>
        <n v="10512"/>
        <n v="3342"/>
        <n v="12568"/>
        <m/>
      </sharedItems>
    </cacheField>
    <cacheField name="Shares" numFmtId="0">
      <sharedItems containsString="0" containsBlank="1" containsNumber="1" containsInteger="1" minValue="0" maxValue="1487" count="272">
        <n v="976"/>
        <n v="1110"/>
        <n v="1318"/>
        <n v="517"/>
        <n v="435"/>
        <n v="533"/>
        <n v="575"/>
        <n v="1360"/>
        <n v="787"/>
        <n v="712"/>
        <n v="1117"/>
        <n v="1072"/>
        <n v="1452"/>
        <n v="469"/>
        <n v="997"/>
        <n v="924"/>
        <n v="1388"/>
        <n v="204"/>
        <n v="1050"/>
        <n v="277"/>
        <n v="773"/>
        <n v="331"/>
        <n v="800"/>
        <n v="1265"/>
        <n v="288"/>
        <n v="601"/>
        <n v="495"/>
        <n v="815"/>
        <n v="999"/>
        <n v="621"/>
        <n v="1246"/>
        <n v="774"/>
        <n v="342"/>
        <n v="1192"/>
        <n v="864"/>
        <n v="344"/>
        <n v="1448"/>
        <n v="1206"/>
        <n v="702"/>
        <n v="1020"/>
        <n v="303"/>
        <n v="1262"/>
        <n v="397"/>
        <n v="778"/>
        <n v="590"/>
        <n v="1402"/>
        <n v="753"/>
        <n v="1238"/>
        <n v="677"/>
        <n v="1454"/>
        <n v="1122"/>
        <n v="619"/>
        <n v="356"/>
        <n v="749"/>
        <n v="1320"/>
        <n v="1220"/>
        <n v="1196"/>
        <n v="1150"/>
        <n v="488"/>
        <n v="1477"/>
        <n v="395"/>
        <n v="797"/>
        <n v="716"/>
        <n v="1064"/>
        <n v="1341"/>
        <n v="1005"/>
        <n v="1382"/>
        <n v="1014"/>
        <n v="427"/>
        <n v="415"/>
        <n v="1147"/>
        <n v="214"/>
        <n v="1380"/>
        <n v="1484"/>
        <n v="246"/>
        <n v="523"/>
        <n v="1043"/>
        <n v="329"/>
        <n v="294"/>
        <n v="826"/>
        <n v="954"/>
        <n v="993"/>
        <n v="268"/>
        <n v="210"/>
        <n v="1071"/>
        <n v="1357"/>
        <n v="911"/>
        <n v="222"/>
        <n v="545"/>
        <n v="501"/>
        <n v="562"/>
        <n v="595"/>
        <n v="417"/>
        <n v="340"/>
        <n v="1157"/>
        <n v="1433"/>
        <n v="1184"/>
        <n v="1027"/>
        <n v="882"/>
        <n v="1203"/>
        <n v="555"/>
        <n v="1207"/>
        <n v="1356"/>
        <n v="1087"/>
        <n v="326"/>
        <n v="1329"/>
        <n v="1208"/>
        <n v="803"/>
        <n v="1213"/>
        <n v="250"/>
        <n v="1252"/>
        <n v="978"/>
        <n v="1013"/>
        <n v="1405"/>
        <n v="1182"/>
        <n v="1024"/>
        <n v="1224"/>
        <n v="766"/>
        <n v="570"/>
        <n v="1135"/>
        <n v="860"/>
        <n v="1168"/>
        <n v="401"/>
        <n v="512"/>
        <n v="316"/>
        <n v="1136"/>
        <n v="443"/>
        <n v="736"/>
        <n v="274"/>
        <n v="585"/>
        <n v="674"/>
        <n v="617"/>
        <n v="546"/>
        <n v="839"/>
        <n v="1138"/>
        <n v="1154"/>
        <n v="1075"/>
        <n v="962"/>
        <n v="863"/>
        <n v="224"/>
        <n v="1403"/>
        <n v="909"/>
        <n v="1384"/>
        <n v="376"/>
        <n v="484"/>
        <n v="262"/>
        <n v="1202"/>
        <n v="861"/>
        <n v="865"/>
        <n v="355"/>
        <n v="1272"/>
        <n v="1166"/>
        <n v="1048"/>
        <n v="1307"/>
        <n v="888"/>
        <n v="347"/>
        <n v="541"/>
        <n v="675"/>
        <n v="1286"/>
        <n v="760"/>
        <n v="526"/>
        <n v="1364"/>
        <n v="1189"/>
        <n v="414"/>
        <n v="634"/>
        <n v="1151"/>
        <n v="922"/>
        <n v="231"/>
        <n v="869"/>
        <n v="628"/>
        <n v="485"/>
        <n v="1367"/>
        <n v="1242"/>
        <n v="217"/>
        <n v="968"/>
        <n v="789"/>
        <n v="1398"/>
        <n v="1209"/>
        <n v="393"/>
        <n v="701"/>
        <n v="1187"/>
        <n v="1336"/>
        <n v="313"/>
        <n v="1445"/>
        <n v="1146"/>
        <n v="1030"/>
        <n v="1487"/>
        <n v="1124"/>
        <n v="254"/>
        <n v="977"/>
        <n v="361"/>
        <n v="286"/>
        <n v="1401"/>
        <n v="1231"/>
        <n v="1032"/>
        <n v="958"/>
        <n v="642"/>
        <n v="527"/>
        <n v="1277"/>
        <n v="960"/>
        <n v="1462"/>
        <n v="1274"/>
        <n v="295"/>
        <n v="1311"/>
        <n v="1301"/>
        <n v="1343"/>
        <n v="690"/>
        <n v="651"/>
        <n v="364"/>
        <n v="381"/>
        <n v="668"/>
        <n v="1109"/>
        <n v="934"/>
        <n v="1022"/>
        <n v="1143"/>
        <n v="206"/>
        <n v="529"/>
        <n v="974"/>
        <n v="350"/>
        <n v="1308"/>
        <n v="346"/>
        <n v="1114"/>
        <n v="899"/>
        <n v="281"/>
        <n v="713"/>
        <n v="908"/>
        <n v="945"/>
        <n v="1222"/>
        <n v="906"/>
        <n v="670"/>
        <n v="1342"/>
        <n v="460"/>
        <n v="1004"/>
        <n v="1133"/>
        <n v="1479"/>
        <n v="1104"/>
        <n v="1449"/>
        <n v="1276"/>
        <n v="1139"/>
        <n v="1053"/>
        <n v="792"/>
        <n v="913"/>
        <n v="1381"/>
        <n v="831"/>
        <n v="258"/>
        <n v="327"/>
        <n v="935"/>
        <n v="920"/>
        <n v="1338"/>
        <n v="1432"/>
        <n v="725"/>
        <n v="720"/>
        <n v="751"/>
        <n v="436"/>
        <n v="1424"/>
        <n v="1458"/>
        <n v="693"/>
        <n v="203"/>
        <n v="641"/>
        <n v="228"/>
        <n v="1332"/>
        <n v="809"/>
        <n v="1037"/>
        <n v="1369"/>
        <n v="241"/>
        <n v="240"/>
        <n v="233"/>
        <n v="1240"/>
        <n v="1376"/>
        <n v="1197"/>
        <n v="226"/>
        <m/>
      </sharedItems>
    </cacheField>
    <cacheField name="Comments" numFmtId="0">
      <sharedItems containsString="0" containsBlank="1" containsNumber="1" containsInteger="1" minValue="0" maxValue="999" count="247">
        <n v="974"/>
        <n v="436"/>
        <n v="795"/>
        <n v="880"/>
        <n v="317"/>
        <n v="759"/>
        <n v="417"/>
        <n v="898"/>
        <n v="970"/>
        <n v="604"/>
        <n v="834"/>
        <n v="550"/>
        <n v="625"/>
        <n v="851"/>
        <n v="783"/>
        <n v="707"/>
        <n v="725"/>
        <n v="279"/>
        <n v="971"/>
        <n v="512"/>
        <n v="854"/>
        <n v="968"/>
        <n v="842"/>
        <n v="441"/>
        <n v="520"/>
        <n v="943"/>
        <n v="178"/>
        <n v="298"/>
        <n v="928"/>
        <n v="445"/>
        <n v="160"/>
        <n v="661"/>
        <n v="825"/>
        <n v="262"/>
        <n v="336"/>
        <n v="956"/>
        <n v="893"/>
        <n v="376"/>
        <n v="459"/>
        <n v="247"/>
        <n v="204"/>
        <n v="772"/>
        <n v="813"/>
        <n v="907"/>
        <n v="555"/>
        <n v="218"/>
        <n v="461"/>
        <n v="438"/>
        <n v="911"/>
        <n v="697"/>
        <n v="900"/>
        <n v="297"/>
        <n v="616"/>
        <n v="888"/>
        <n v="393"/>
        <n v="640"/>
        <n v="998"/>
        <n v="656"/>
        <n v="514"/>
        <n v="631"/>
        <n v="350"/>
        <n v="303"/>
        <n v="599"/>
        <n v="650"/>
        <n v="222"/>
        <n v="862"/>
        <n v="166"/>
        <n v="790"/>
        <n v="366"/>
        <n v="210"/>
        <n v="765"/>
        <n v="191"/>
        <n v="174"/>
        <n v="188"/>
        <n v="952"/>
        <n v="280"/>
        <n v="647"/>
        <n v="378"/>
        <n v="257"/>
        <n v="321"/>
        <n v="584"/>
        <n v="627"/>
        <n v="251"/>
        <n v="673"/>
        <n v="424"/>
        <n v="762"/>
        <n v="193"/>
        <n v="966"/>
        <n v="479"/>
        <n v="718"/>
        <n v="972"/>
        <n v="646"/>
        <n v="964"/>
        <n v="161"/>
        <n v="467"/>
        <n v="741"/>
        <n v="365"/>
        <n v="488"/>
        <n v="925"/>
        <n v="810"/>
        <n v="230"/>
        <n v="876"/>
        <n v="634"/>
        <n v="523"/>
        <n v="859"/>
        <n v="349"/>
        <n v="686"/>
        <n v="615"/>
        <n v="238"/>
        <n v="804"/>
        <n v="720"/>
        <n v="638"/>
        <n v="687"/>
        <n v="196"/>
        <n v="437"/>
        <n v="927"/>
        <n v="165"/>
        <n v="860"/>
        <n v="235"/>
        <n v="399"/>
        <n v="540"/>
        <n v="931"/>
        <n v="484"/>
        <n v="778"/>
        <n v="668"/>
        <n v="286"/>
        <n v="837"/>
        <n v="989"/>
        <n v="976"/>
        <n v="626"/>
        <n v="743"/>
        <n v="372"/>
        <n v="521"/>
        <n v="551"/>
        <n v="592"/>
        <n v="639"/>
        <n v="764"/>
        <n v="422"/>
        <n v="675"/>
        <n v="308"/>
        <n v="301"/>
        <n v="769"/>
        <n v="337"/>
        <n v="962"/>
        <n v="954"/>
        <n v="320"/>
        <n v="332"/>
        <n v="513"/>
        <n v="676"/>
        <n v="665"/>
        <n v="498"/>
        <n v="546"/>
        <n v="871"/>
        <n v="310"/>
        <n v="642"/>
        <n v="575"/>
        <n v="460"/>
        <n v="319"/>
        <n v="695"/>
        <n v="563"/>
        <n v="400"/>
        <n v="908"/>
        <n v="930"/>
        <n v="290"/>
        <n v="423"/>
        <n v="565"/>
        <n v="757"/>
        <n v="963"/>
        <n v="394"/>
        <n v="897"/>
        <n v="846"/>
        <n v="421"/>
        <n v="589"/>
        <n v="388"/>
        <n v="526"/>
        <n v="415"/>
        <n v="508"/>
        <n v="489"/>
        <n v="538"/>
        <n v="726"/>
        <n v="838"/>
        <n v="152"/>
        <n v="578"/>
        <n v="291"/>
        <n v="525"/>
        <n v="819"/>
        <n v="473"/>
        <n v="295"/>
        <n v="442"/>
        <n v="814"/>
        <n v="581"/>
        <n v="734"/>
        <n v="548"/>
        <n v="493"/>
        <n v="289"/>
        <n v="529"/>
        <n v="468"/>
        <n v="451"/>
        <n v="211"/>
        <n v="994"/>
        <n v="375"/>
        <n v="302"/>
        <n v="713"/>
        <n v="921"/>
        <n v="733"/>
        <n v="809"/>
        <n v="724"/>
        <n v="392"/>
        <n v="515"/>
        <n v="256"/>
        <n v="367"/>
        <n v="902"/>
        <n v="655"/>
        <n v="408"/>
        <n v="923"/>
        <n v="666"/>
        <n v="922"/>
        <n v="203"/>
        <n v="670"/>
        <n v="248"/>
        <n v="169"/>
        <n v="722"/>
        <n v="568"/>
        <n v="839"/>
        <n v="999"/>
        <n v="294"/>
        <n v="309"/>
        <n v="269"/>
        <n v="478"/>
        <n v="729"/>
        <n v="506"/>
        <n v="416"/>
        <n v="766"/>
        <n v="472"/>
        <n v="784"/>
        <n v="690"/>
        <n v="798"/>
        <n v="344"/>
        <n v="887"/>
        <n v="481"/>
        <n v="612"/>
        <n v="189"/>
        <n v="410"/>
        <n v="544"/>
        <n v="273"/>
        <n v="187"/>
        <m/>
      </sharedItems>
    </cacheField>
    <cacheField name="Clicks" numFmtId="0">
      <sharedItems containsString="0" containsBlank="1" containsNumber="1" containsInteger="1" minValue="0" maxValue="2936" count="282">
        <n v="2675"/>
        <n v="1574"/>
        <n v="1499"/>
        <n v="1925"/>
        <n v="1213"/>
        <n v="753"/>
        <n v="336"/>
        <n v="2011"/>
        <n v="1095"/>
        <n v="1272"/>
        <n v="892"/>
        <n v="1437"/>
        <n v="1624"/>
        <n v="2571"/>
        <n v="617"/>
        <n v="2696"/>
        <n v="2462"/>
        <n v="1646"/>
        <n v="1891"/>
        <n v="2189"/>
        <n v="2387"/>
        <n v="2296"/>
        <n v="2072"/>
        <n v="1612"/>
        <n v="1585"/>
        <n v="515"/>
        <n v="2683"/>
        <n v="2439"/>
        <n v="2700"/>
        <n v="2918"/>
        <n v="2004"/>
        <n v="662"/>
        <n v="2904"/>
        <n v="2016"/>
        <n v="1493"/>
        <n v="655"/>
        <n v="490"/>
        <n v="2769"/>
        <n v="999"/>
        <n v="2354"/>
        <n v="2480"/>
        <n v="856"/>
        <n v="1125"/>
        <n v="1354"/>
        <n v="2882"/>
        <n v="725"/>
        <n v="2710"/>
        <n v="1874"/>
        <n v="2429"/>
        <n v="2703"/>
        <n v="888"/>
        <n v="2312"/>
        <n v="1847"/>
        <n v="594"/>
        <n v="2285"/>
        <n v="1547"/>
        <n v="1848"/>
        <n v="1990"/>
        <n v="1436"/>
        <n v="1556"/>
        <n v="2364"/>
        <n v="659"/>
        <n v="747"/>
        <n v="2712"/>
        <n v="974"/>
        <n v="1307"/>
        <n v="1649"/>
        <n v="2814"/>
        <n v="2761"/>
        <n v="885"/>
        <n v="1293"/>
        <n v="1735"/>
        <n v="871"/>
        <n v="2682"/>
        <n v="1545"/>
        <n v="2384"/>
        <n v="1288"/>
        <n v="577"/>
        <n v="1519"/>
        <n v="2187"/>
        <n v="783"/>
        <n v="1565"/>
        <n v="1030"/>
        <n v="2539"/>
        <n v="1340"/>
        <n v="2871"/>
        <n v="1217"/>
        <n v="2748"/>
        <n v="1185"/>
        <n v="321"/>
        <n v="773"/>
        <n v="2557"/>
        <n v="2653"/>
        <n v="1003"/>
        <n v="986"/>
        <n v="584"/>
        <n v="1015"/>
        <n v="1062"/>
        <n v="1550"/>
        <n v="1247"/>
        <n v="2728"/>
        <n v="2807"/>
        <n v="1330"/>
        <n v="328"/>
        <n v="1206"/>
        <n v="2426"/>
        <n v="2806"/>
        <n v="869"/>
        <n v="2306"/>
        <n v="1753"/>
        <n v="1037"/>
        <n v="815"/>
        <n v="2300"/>
        <n v="2744"/>
        <n v="338"/>
        <n v="1186"/>
        <n v="2504"/>
        <n v="1398"/>
        <n v="2123"/>
        <n v="2010"/>
        <n v="1273"/>
        <n v="1862"/>
        <n v="320"/>
        <n v="2650"/>
        <n v="1168"/>
        <n v="383"/>
        <n v="1982"/>
        <n v="2276"/>
        <n v="1710"/>
        <n v="1830"/>
        <n v="1233"/>
        <n v="2280"/>
        <n v="2155"/>
        <n v="1092"/>
        <n v="1091"/>
        <n v="2109"/>
        <n v="1594"/>
        <n v="2839"/>
        <n v="2555"/>
        <n v="1907"/>
        <n v="1383"/>
        <n v="2777"/>
        <n v="1284"/>
        <n v="1980"/>
        <n v="819"/>
        <n v="890"/>
        <n v="1350"/>
        <n v="2009"/>
        <n v="2335"/>
        <n v="2546"/>
        <n v="2734"/>
        <n v="648"/>
        <n v="1259"/>
        <n v="2263"/>
        <n v="992"/>
        <n v="1859"/>
        <n v="677"/>
        <n v="826"/>
        <n v="2553"/>
        <n v="2802"/>
        <n v="1559"/>
        <n v="2175"/>
        <n v="2063"/>
        <n v="820"/>
        <n v="2001"/>
        <n v="1316"/>
        <n v="1313"/>
        <n v="2848"/>
        <n v="416"/>
        <n v="2733"/>
        <n v="1667"/>
        <n v="883"/>
        <n v="694"/>
        <n v="1387"/>
        <n v="371"/>
        <n v="573"/>
        <n v="2313"/>
        <n v="1643"/>
        <n v="637"/>
        <n v="1689"/>
        <n v="906"/>
        <n v="465"/>
        <n v="1867"/>
        <n v="2358"/>
        <n v="1028"/>
        <n v="2343"/>
        <n v="401"/>
        <n v="1715"/>
        <n v="1078"/>
        <n v="513"/>
        <n v="1411"/>
        <n v="1876"/>
        <n v="2935"/>
        <n v="1995"/>
        <n v="891"/>
        <n v="1633"/>
        <n v="1409"/>
        <n v="1013"/>
        <n v="1235"/>
        <n v="2251"/>
        <n v="541"/>
        <n v="301"/>
        <n v="2572"/>
        <n v="2068"/>
        <n v="2249"/>
        <n v="2936"/>
        <n v="2463"/>
        <n v="2541"/>
        <n v="389"/>
        <n v="2469"/>
        <n v="442"/>
        <n v="405"/>
        <n v="727"/>
        <n v="1628"/>
        <n v="2195"/>
        <n v="2294"/>
        <n v="616"/>
        <n v="2286"/>
        <n v="934"/>
        <n v="2225"/>
        <n v="2356"/>
        <n v="2570"/>
        <n v="1739"/>
        <n v="852"/>
        <n v="1587"/>
        <n v="2013"/>
        <n v="2183"/>
        <n v="1407"/>
        <n v="1641"/>
        <n v="410"/>
        <n v="550"/>
        <n v="2730"/>
        <n v="758"/>
        <n v="507"/>
        <n v="1199"/>
        <n v="709"/>
        <n v="1194"/>
        <n v="814"/>
        <n v="1108"/>
        <n v="1173"/>
        <n v="313"/>
        <n v="1270"/>
        <n v="2434"/>
        <n v="1860"/>
        <n v="1566"/>
        <n v="1049"/>
        <n v="984"/>
        <n v="2227"/>
        <n v="2656"/>
        <n v="994"/>
        <n v="2635"/>
        <n v="606"/>
        <n v="2289"/>
        <n v="961"/>
        <n v="848"/>
        <n v="611"/>
        <n v="1382"/>
        <n v="2037"/>
        <n v="1054"/>
        <n v="334"/>
        <n v="744"/>
        <n v="2440"/>
        <n v="2282"/>
        <n v="1530"/>
        <n v="652"/>
        <n v="1202"/>
        <n v="1655"/>
        <n v="2048"/>
        <n v="458"/>
        <n v="2277"/>
        <n v="1256"/>
        <n v="2371"/>
        <n v="703"/>
        <n v="1687"/>
        <n v="2879"/>
        <n v="1255"/>
        <n v="2499"/>
        <n v="2012"/>
        <n v="907"/>
        <n v="2767"/>
        <n v="1573"/>
        <m/>
      </sharedItems>
    </cacheField>
    <cacheField name="Reach" numFmtId="0">
      <sharedItems containsString="0" containsBlank="1" containsNumber="1" containsInteger="1" minValue="0" maxValue="97772" count="299">
        <n v="23275"/>
        <n v="77167"/>
        <n v="52307"/>
        <n v="18636"/>
        <n v="70701"/>
        <n v="61660"/>
        <n v="42841"/>
        <n v="56343"/>
        <n v="71598"/>
        <n v="24675"/>
        <n v="22982"/>
        <n v="21282"/>
        <n v="33802"/>
        <n v="55075"/>
        <n v="53082"/>
        <n v="35819"/>
        <n v="15865"/>
        <n v="76881"/>
        <n v="72396"/>
        <n v="24613"/>
        <n v="31736"/>
        <n v="66615"/>
        <n v="59182"/>
        <n v="41309"/>
        <n v="32244"/>
        <n v="6259"/>
        <n v="12264"/>
        <n v="54808"/>
        <n v="2701"/>
        <n v="12676"/>
        <n v="15954"/>
        <n v="28771"/>
        <n v="33310"/>
        <n v="67621"/>
        <n v="23518"/>
        <n v="27550"/>
        <n v="59627"/>
        <n v="37792"/>
        <n v="7377"/>
        <n v="11496"/>
        <n v="12206"/>
        <n v="34475"/>
        <n v="49816"/>
        <n v="8710"/>
        <n v="20792"/>
        <n v="36272"/>
        <n v="27361"/>
        <n v="21288"/>
        <n v="36938"/>
        <n v="9730"/>
        <n v="3144"/>
        <n v="18171"/>
        <n v="14049"/>
        <n v="28527"/>
        <n v="44739"/>
        <n v="410"/>
        <n v="30059"/>
        <n v="11580"/>
        <n v="43239"/>
        <n v="7"/>
        <n v="89591"/>
        <n v="42667"/>
        <n v="19987"/>
        <n v="2285"/>
        <n v="84691"/>
        <n v="15145"/>
        <n v="24916"/>
        <n v="2988"/>
        <n v="30360"/>
        <n v="5239"/>
        <n v="77798"/>
        <n v="16330"/>
        <n v="20998"/>
        <n v="14957"/>
        <n v="8538"/>
        <n v="18859"/>
        <n v="39404"/>
        <n v="39466"/>
        <n v="19262"/>
        <n v="13637"/>
        <n v="9609"/>
        <n v="34154"/>
        <n v="24847"/>
        <n v="58052"/>
        <n v="12701"/>
        <n v="4890"/>
        <n v="14800"/>
        <n v="68817"/>
        <n v="24615"/>
        <n v="37625"/>
        <n v="8396"/>
        <n v="17841"/>
        <n v="56890"/>
        <n v="19334"/>
        <n v="61333"/>
        <n v="24826"/>
        <n v="66634"/>
        <n v="24333"/>
        <n v="75008"/>
        <n v="5221"/>
        <n v="39588"/>
        <n v="32015"/>
        <n v="3647"/>
        <n v="69141"/>
        <n v="91296"/>
        <n v="51755"/>
        <n v="24963"/>
        <n v="38579"/>
        <n v="40281"/>
        <n v="16865"/>
        <n v="43582"/>
        <n v="39569"/>
        <n v="41991"/>
        <n v="25081"/>
        <n v="20190"/>
        <n v="67754"/>
        <n v="8924"/>
        <n v="8081"/>
        <n v="4185"/>
        <n v="53916"/>
        <n v="21481"/>
        <n v="4706"/>
        <n v="34088"/>
        <n v="45183"/>
        <n v="65049"/>
        <n v="27217"/>
        <n v="16483"/>
        <n v="37571"/>
        <n v="43225"/>
        <n v="20967"/>
        <n v="36467"/>
        <n v="55436"/>
        <n v="75437"/>
        <n v="21337"/>
        <n v="14639"/>
        <n v="3704"/>
        <n v="32147"/>
        <n v="18101"/>
        <n v="18559"/>
        <n v="38627"/>
        <n v="349"/>
        <n v="92810"/>
        <n v="36874"/>
        <n v="17875"/>
        <n v="25529"/>
        <n v="24620"/>
        <n v="33174"/>
        <n v="85788"/>
        <n v="35105"/>
        <n v="28370"/>
        <n v="6221"/>
        <n v="6757"/>
        <n v="22617"/>
        <n v="43338"/>
        <n v="47544"/>
        <n v="21925"/>
        <n v="12085"/>
        <n v="18654"/>
        <n v="50565"/>
        <n v="47305"/>
        <n v="21836"/>
        <n v="39025"/>
        <n v="22171"/>
        <n v="11596"/>
        <n v="56378"/>
        <n v="42743"/>
        <n v="33534"/>
        <n v="67839"/>
        <n v="18164"/>
        <n v="51605"/>
        <n v="15379"/>
        <n v="30229"/>
        <n v="995"/>
        <n v="75813"/>
        <n v="42921"/>
        <n v="839"/>
        <n v="63550"/>
        <n v="47579"/>
        <n v="7389"/>
        <n v="50924"/>
        <n v="4322"/>
        <n v="31404"/>
        <n v="49329"/>
        <n v="54826"/>
        <n v="27184"/>
        <n v="40816"/>
        <n v="59610"/>
        <n v="38771"/>
        <n v="55556"/>
        <n v="13588"/>
        <n v="52687"/>
        <n v="60592"/>
        <n v="11500"/>
        <n v="18959"/>
        <n v="85339"/>
        <n v="8882"/>
        <n v="34685"/>
        <n v="69749"/>
        <n v="14280"/>
        <n v="29576"/>
        <n v="71447"/>
        <n v="10569"/>
        <n v="45631"/>
        <n v="13838"/>
        <n v="33446"/>
        <n v="43705"/>
        <n v="43666"/>
        <n v="2753"/>
        <n v="12564"/>
        <n v="38552"/>
        <n v="45632"/>
        <n v="3399"/>
        <n v="82543"/>
        <n v="29689"/>
        <n v="91440"/>
        <n v="14309"/>
        <n v="6145"/>
        <n v="8"/>
        <n v="30565"/>
        <n v="25286"/>
        <n v="59842"/>
        <n v="3363"/>
        <n v="87833"/>
        <n v="8272"/>
        <n v="4390"/>
        <n v="71696"/>
        <n v="42228"/>
        <n v="50567"/>
        <n v="20509"/>
        <n v="1044"/>
        <n v="37437"/>
        <n v="23719"/>
        <n v="34444"/>
        <n v="11660"/>
        <n v="71322"/>
        <n v="74927"/>
        <n v="20471"/>
        <n v="15996"/>
        <n v="29254"/>
        <n v="28044"/>
        <n v="49490"/>
        <n v="22583"/>
        <n v="41050"/>
        <n v="5472"/>
        <n v="34850"/>
        <n v="4037"/>
        <n v="14129"/>
        <n v="68488"/>
        <n v="21869"/>
        <n v="16309"/>
        <n v="52613"/>
        <n v="21120"/>
        <n v="36807"/>
        <n v="40125"/>
        <n v="48524"/>
        <n v="21454"/>
        <n v="2940"/>
        <n v="60397"/>
        <n v="72237"/>
        <n v="9417"/>
        <n v="12130"/>
        <n v="475"/>
        <n v="10967"/>
        <n v="49351"/>
        <n v="66614"/>
        <n v="59400"/>
        <n v="21890"/>
        <n v="59490"/>
        <n v="20785"/>
        <n v="39154"/>
        <n v="39319"/>
        <n v="52791"/>
        <n v="16844"/>
        <n v="8875"/>
        <n v="20516"/>
        <n v="49257"/>
        <n v="97772"/>
        <n v="63650"/>
        <n v="56125"/>
        <n v="18395"/>
        <n v="63789"/>
        <n v="9418"/>
        <n v="35505"/>
        <n v="19443"/>
        <n v="6636"/>
        <n v="85743"/>
        <n v="43415"/>
        <n v="35340"/>
        <n v="69596"/>
        <n v="11978"/>
        <n v="28102"/>
        <n v="28185"/>
        <n v="15403"/>
        <n v="58146"/>
        <n v="10245"/>
        <n v="85823"/>
        <n v="22331"/>
        <n v="62688"/>
        <m/>
      </sharedItems>
    </cacheField>
    <cacheField name="Impressions" numFmtId="0">
      <sharedItems containsString="0" containsBlank="1" containsNumber="1" containsInteger="1" minValue="0" maxValue="249988" count="301">
        <n v="202932"/>
        <n v="71585"/>
        <n v="193087"/>
        <n v="248611"/>
        <n v="83585"/>
        <n v="66958"/>
        <n v="66017"/>
        <n v="247779"/>
        <n v="164677"/>
        <n v="216422"/>
        <n v="183273"/>
        <n v="69426"/>
        <n v="57778"/>
        <n v="216313"/>
        <n v="82229"/>
        <n v="126652"/>
        <n v="168267"/>
        <n v="219436"/>
        <n v="166503"/>
        <n v="124878"/>
        <n v="97056"/>
        <n v="198562"/>
        <n v="59975"/>
        <n v="197795"/>
        <n v="194351"/>
        <n v="249373"/>
        <n v="182633"/>
        <n v="237133"/>
        <n v="128397"/>
        <n v="220225"/>
        <n v="73142"/>
        <n v="66916"/>
        <n v="104324"/>
        <n v="216037"/>
        <n v="165932"/>
        <n v="175720"/>
        <n v="206205"/>
        <n v="221749"/>
        <n v="136059"/>
        <n v="138317"/>
        <n v="241207"/>
        <n v="75046"/>
        <n v="218136"/>
        <n v="141459"/>
        <n v="240422"/>
        <n v="85893"/>
        <n v="141520"/>
        <n v="165818"/>
        <n v="101272"/>
        <n v="107649"/>
        <n v="104674"/>
        <n v="184832"/>
        <n v="192999"/>
        <n v="126475"/>
        <n v="101367"/>
        <n v="183660"/>
        <n v="161750"/>
        <n v="158154"/>
        <n v="223305"/>
        <n v="84738"/>
        <n v="73397"/>
        <n v="122189"/>
        <n v="116367"/>
        <n v="242332"/>
        <n v="160585"/>
        <n v="116619"/>
        <n v="151453"/>
        <n v="59816"/>
        <n v="213312"/>
        <n v="177348"/>
        <n v="119530"/>
        <n v="194571"/>
        <n v="148856"/>
        <n v="111635"/>
        <n v="147803"/>
        <n v="75946"/>
        <n v="95204"/>
        <n v="222958"/>
        <n v="242724"/>
        <n v="55563"/>
        <n v="132324"/>
        <n v="49847"/>
        <n v="66155"/>
        <n v="119671"/>
        <n v="156891"/>
        <n v="123310"/>
        <n v="238350"/>
        <n v="189381"/>
        <n v="171691"/>
        <n v="221180"/>
        <n v="74707"/>
        <n v="191409"/>
        <n v="121537"/>
        <n v="237576"/>
        <n v="218686"/>
        <n v="131155"/>
        <n v="40281"/>
        <n v="198492"/>
        <n v="210102"/>
        <n v="172130"/>
        <n v="116260"/>
        <n v="199476"/>
        <n v="200928"/>
        <n v="180272"/>
        <n v="104178"/>
        <n v="73997"/>
        <n v="196683"/>
        <n v="159273"/>
        <n v="212307"/>
        <n v="206129"/>
        <n v="172311"/>
        <n v="236733"/>
        <n v="166945"/>
        <n v="85272"/>
        <n v="129393"/>
        <n v="101212"/>
        <n v="186470"/>
        <n v="160030"/>
        <n v="96503"/>
        <n v="177710"/>
        <n v="46570"/>
        <n v="108785"/>
        <n v="49110"/>
        <n v="119141"/>
        <n v="52115"/>
        <n v="79062"/>
        <n v="62911"/>
        <n v="144061"/>
        <n v="72556"/>
        <n v="249203"/>
        <n v="168335"/>
        <n v="41969"/>
        <n v="83753"/>
        <n v="175542"/>
        <n v="161863"/>
        <n v="50225"/>
        <n v="163008"/>
        <n v="194268"/>
        <n v="145823"/>
        <n v="53669"/>
        <n v="208452"/>
        <n v="164398"/>
        <n v="150677"/>
        <n v="88320"/>
        <n v="218486"/>
        <n v="186649"/>
        <n v="165354"/>
        <n v="128009"/>
        <n v="226481"/>
        <n v="68625"/>
        <n v="64089"/>
        <n v="76487"/>
        <n v="236910"/>
        <n v="150448"/>
        <n v="90138"/>
        <n v="213895"/>
        <n v="208280"/>
        <n v="94061"/>
        <n v="201731"/>
        <n v="141376"/>
        <n v="202962"/>
        <n v="119134"/>
        <n v="87055"/>
        <n v="59508"/>
        <n v="213359"/>
        <n v="249988"/>
        <n v="198056"/>
        <n v="150169"/>
        <n v="48125"/>
        <n v="76059"/>
        <n v="240641"/>
        <n v="143409"/>
        <n v="188159"/>
        <n v="45704"/>
        <n v="231648"/>
        <n v="244456"/>
        <n v="151279"/>
        <n v="243532"/>
        <n v="198280"/>
        <n v="158516"/>
        <n v="237096"/>
        <n v="210954"/>
        <n v="196995"/>
        <n v="154044"/>
        <n v="69165"/>
        <n v="107203"/>
        <n v="44114"/>
        <n v="236037"/>
        <n v="76321"/>
        <n v="113297"/>
        <n v="136652"/>
        <n v="139304"/>
        <n v="196498"/>
        <n v="57772"/>
        <n v="143754"/>
        <n v="43712"/>
        <n v="172439"/>
        <n v="155142"/>
        <n v="131736"/>
        <n v="91924"/>
        <n v="43726"/>
        <n v="129152"/>
        <n v="67723"/>
        <n v="166969"/>
        <n v="140494"/>
        <n v="180180"/>
        <n v="248786"/>
        <n v="75643"/>
        <n v="202396"/>
        <n v="143896"/>
        <n v="179999"/>
        <n v="133680"/>
        <n v="136546"/>
        <n v="193515"/>
        <n v="119973"/>
        <n v="103449"/>
        <n v="149834"/>
        <n v="247815"/>
        <n v="231305"/>
        <n v="65537"/>
        <n v="117576"/>
        <n v="147522"/>
        <n v="62612"/>
        <n v="46471"/>
        <n v="206703"/>
        <n v="71348"/>
        <n v="235804"/>
        <n v="41177"/>
        <n v="175832"/>
        <n v="72779"/>
        <n v="61636"/>
        <n v="121889"/>
        <n v="93551"/>
        <n v="182628"/>
        <n v="198670"/>
        <n v="182635"/>
        <n v="86819"/>
        <n v="113770"/>
        <n v="198038"/>
        <n v="230961"/>
        <n v="198059"/>
        <n v="118714"/>
        <n v="229420"/>
        <n v="64596"/>
        <n v="204246"/>
        <n v="104106"/>
        <n v="241039"/>
        <n v="99182"/>
        <n v="127163"/>
        <n v="79310"/>
        <n v="96088"/>
        <n v="168803"/>
        <n v="179978"/>
        <n v="76914"/>
        <n v="150350"/>
        <n v="85379"/>
        <n v="249684"/>
        <n v="208722"/>
        <n v="217953"/>
        <n v="86413"/>
        <n v="177084"/>
        <n v="221187"/>
        <n v="47151"/>
        <n v="97716"/>
        <n v="133747"/>
        <n v="207450"/>
        <n v="213724"/>
        <n v="243502"/>
        <n v="184539"/>
        <n v="202082"/>
        <n v="161999"/>
        <n v="154793"/>
        <n v="225763"/>
        <n v="235229"/>
        <n v="148177"/>
        <n v="52289"/>
        <n v="216048"/>
        <n v="214668"/>
        <n v="194243"/>
        <n v="126365"/>
        <n v="154014"/>
        <n v="215211"/>
        <n v="219785"/>
        <n v="200806"/>
        <n v="112588"/>
        <n v="103646"/>
        <n v="43654"/>
        <n v="58743"/>
        <n v="88368"/>
        <n v="245244"/>
        <n v="177513"/>
        <n v="159735"/>
        <n v="195683"/>
        <n v="159891"/>
        <n v="147971"/>
        <n v="52149"/>
        <n v="140102"/>
        <n v="99189"/>
        <n v="192747"/>
        <n v="111031"/>
        <m/>
      </sharedItems>
    </cacheField>
    <cacheField name="Campaign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By="chauh" refreshedDate="46142.9823148148" createdVersion="5" refreshedVersion="5" minRefreshableVersion="3" recordCount="200">
  <cacheSource type="worksheet">
    <worksheetSource sheet="Engagement Summary" ref="$A$1:$G$201"/>
  </cacheSource>
  <cacheFields count="7">
    <cacheField name="Week_Start_Date" numFmtId="166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0" maxValue="9984" count="197">
        <n v="4138"/>
        <n v="8693"/>
        <n v="9264"/>
        <n v="8842"/>
        <n v="7721"/>
        <n v="8002"/>
        <n v="5225"/>
        <n v="3978"/>
        <n v="8373"/>
        <n v="6907"/>
        <n v="7097"/>
        <n v="6656"/>
        <n v="9984"/>
        <n v="5259"/>
        <n v="9286"/>
        <n v="6901"/>
        <n v="5917"/>
        <n v="9429"/>
        <n v="3530"/>
        <n v="2960"/>
        <n v="8045"/>
        <n v="2048"/>
        <n v="6772"/>
        <n v="3529"/>
        <n v="3964"/>
        <n v="8137"/>
        <n v="1963"/>
        <n v="1536"/>
        <n v="8340"/>
        <n v="8179"/>
        <n v="8967"/>
        <n v="9734"/>
        <n v="1845"/>
        <n v="6777"/>
        <n v="4036"/>
        <n v="6947"/>
        <n v="3494"/>
        <n v="3719"/>
        <n v="2884"/>
        <n v="5349"/>
        <n v="6179"/>
        <n v="7610"/>
        <n v="7430"/>
        <n v="8154"/>
        <n v="7488"/>
        <n v="5737"/>
        <n v="7525"/>
        <n v="4850"/>
        <n v="1689"/>
        <n v="6175"/>
        <n v="9648"/>
        <n v="6078"/>
        <n v="6448"/>
        <n v="2179"/>
        <n v="7406"/>
        <n v="9591"/>
        <n v="7907"/>
        <n v="9800"/>
        <n v="2638"/>
        <n v="6671"/>
        <n v="7928"/>
        <n v="2382"/>
        <n v="2403"/>
        <n v="4292"/>
        <n v="1419"/>
        <n v="5517"/>
        <n v="4302"/>
        <n v="8857"/>
        <n v="8870"/>
        <n v="6693"/>
        <n v="1767"/>
        <n v="3044"/>
        <n v="2549"/>
        <n v="7140"/>
        <n v="4716"/>
        <n v="5481"/>
        <n v="8898"/>
        <n v="7548"/>
        <n v="3293"/>
        <n v="5837"/>
        <n v="8758"/>
        <n v="7793"/>
        <n v="8638"/>
        <n v="8993"/>
        <n v="7007"/>
        <n v="6542"/>
        <n v="7356"/>
        <n v="9433"/>
        <n v="8380"/>
        <n v="3385"/>
        <n v="5268"/>
        <n v="1671"/>
        <n v="1163"/>
        <n v="9656"/>
        <n v="5592"/>
        <n v="5795"/>
        <n v="5798"/>
        <n v="7036"/>
        <n v="3355"/>
        <n v="6887"/>
        <n v="8961"/>
        <n v="6827"/>
        <n v="9737"/>
        <n v="5719"/>
        <n v="1593"/>
        <n v="5839"/>
        <n v="8394"/>
        <n v="4493"/>
        <n v="7164"/>
        <n v="3672"/>
        <n v="5200"/>
        <n v="1016"/>
        <n v="4191"/>
        <n v="1392"/>
        <n v="9616"/>
        <n v="7272"/>
        <n v="1571"/>
        <n v="4631"/>
        <n v="7172"/>
        <n v="8177"/>
        <n v="4897"/>
        <n v="9123"/>
        <n v="3279"/>
        <n v="9980"/>
        <n v="8451"/>
        <n v="9906"/>
        <n v="1775"/>
        <n v="7869"/>
        <n v="3247"/>
        <n v="8088"/>
        <n v="1078"/>
        <n v="9080"/>
        <n v="8099"/>
        <n v="4926"/>
        <n v="8083"/>
        <n v="7230"/>
        <n v="5940"/>
        <n v="4271"/>
        <n v="4456"/>
        <n v="8788"/>
        <n v="9599"/>
        <n v="8650"/>
        <n v="3711"/>
        <n v="2668"/>
        <n v="1147"/>
        <n v="7420"/>
        <n v="1365"/>
        <n v="5531"/>
        <n v="6330"/>
        <n v="6510"/>
        <n v="9754"/>
        <n v="9964"/>
        <n v="7493"/>
        <n v="6439"/>
        <n v="7511"/>
        <n v="8504"/>
        <n v="2246"/>
        <n v="4839"/>
        <n v="9551"/>
        <n v="3376"/>
        <n v="4009"/>
        <n v="2827"/>
        <n v="7979"/>
        <n v="9569"/>
        <n v="5285"/>
        <n v="7910"/>
        <n v="9561"/>
        <n v="3196"/>
        <n v="4747"/>
        <n v="9843"/>
        <n v="6978"/>
        <n v="6607"/>
        <n v="1769"/>
        <n v="1780"/>
        <n v="7303"/>
        <n v="4983"/>
        <n v="9714"/>
        <n v="1521"/>
        <n v="8569"/>
        <n v="6784"/>
        <n v="5583"/>
        <n v="6946"/>
        <n v="5941"/>
        <n v="7267"/>
        <n v="8128"/>
        <n v="3461"/>
        <n v="1685"/>
        <n v="3160"/>
        <n v="8031"/>
        <n v="6341"/>
        <n v="1038"/>
        <n v="5875"/>
        <n v="2256"/>
        <n v="8697"/>
        <n v="8165"/>
        <n v="1301"/>
        <n v="8527"/>
      </sharedItems>
    </cacheField>
    <cacheField name="Unfollows" numFmtId="0">
      <sharedItems containsSemiMixedTypes="0" containsString="0" containsNumber="1" containsInteger="1" minValue="0" maxValue="1417" count="183">
        <n v="361"/>
        <n v="1261"/>
        <n v="1141"/>
        <n v="971"/>
        <n v="506"/>
        <n v="524"/>
        <n v="291"/>
        <n v="543"/>
        <n v="921"/>
        <n v="834"/>
        <n v="369"/>
        <n v="978"/>
        <n v="1330"/>
        <n v="374"/>
        <n v="633"/>
        <n v="471"/>
        <n v="475"/>
        <n v="966"/>
        <n v="328"/>
        <n v="234"/>
        <n v="894"/>
        <n v="130"/>
        <n v="536"/>
        <n v="305"/>
        <n v="378"/>
        <n v="1045"/>
        <n v="137"/>
        <n v="155"/>
        <n v="911"/>
        <n v="446"/>
        <n v="993"/>
        <n v="652"/>
        <n v="104"/>
        <n v="981"/>
        <n v="591"/>
        <n v="908"/>
        <n v="281"/>
        <n v="222"/>
        <n v="341"/>
        <n v="502"/>
        <n v="384"/>
        <n v="757"/>
        <n v="397"/>
        <n v="1149"/>
        <n v="568"/>
        <n v="666"/>
        <n v="610"/>
        <n v="494"/>
        <n v="176"/>
        <n v="422"/>
        <n v="1417"/>
        <n v="775"/>
        <n v="928"/>
        <n v="303"/>
        <n v="813"/>
        <n v="1363"/>
        <n v="465"/>
        <n v="682"/>
        <n v="143"/>
        <n v="550"/>
        <n v="704"/>
        <n v="183"/>
        <n v="319"/>
        <n v="367"/>
        <n v="110"/>
        <n v="575"/>
        <n v="275"/>
        <n v="1153"/>
        <n v="509"/>
        <n v="995"/>
        <n v="224"/>
        <n v="212"/>
        <n v="128"/>
        <n v="939"/>
        <n v="569"/>
        <n v="673"/>
        <n v="1131"/>
        <n v="433"/>
        <n v="282"/>
        <n v="359"/>
        <n v="1193"/>
        <n v="875"/>
        <n v="717"/>
        <n v="539"/>
        <n v="904"/>
        <n v="1073"/>
        <n v="1162"/>
        <n v="329"/>
        <n v="326"/>
        <n v="202"/>
        <n v="146"/>
        <n v="1024"/>
        <n v="710"/>
        <n v="592"/>
        <n v="418"/>
        <n v="476"/>
        <n v="792"/>
        <n v="576"/>
        <n v="437"/>
        <n v="764"/>
        <n v="564"/>
        <n v="522"/>
        <n v="211"/>
        <n v="410"/>
        <n v="67"/>
        <n v="599"/>
        <n v="182"/>
        <n v="1089"/>
        <n v="997"/>
        <n v="204"/>
        <n v="317"/>
        <n v="998"/>
        <n v="849"/>
        <n v="1233"/>
        <n v="683"/>
        <n v="746"/>
        <n v="200"/>
        <n v="726"/>
        <n v="783"/>
        <n v="1305"/>
        <n v="241"/>
        <n v="398"/>
        <n v="742"/>
        <n v="77"/>
        <n v="562"/>
        <n v="678"/>
        <n v="686"/>
        <n v="823"/>
        <n v="869"/>
        <n v="512"/>
        <n v="628"/>
        <n v="651"/>
        <n v="660"/>
        <n v="957"/>
        <n v="692"/>
        <n v="127"/>
        <n v="743"/>
        <n v="75"/>
        <n v="430"/>
        <n v="891"/>
        <n v="481"/>
        <n v="629"/>
        <n v="985"/>
        <n v="1113"/>
        <n v="477"/>
        <n v="880"/>
        <n v="1072"/>
        <n v="165"/>
        <n v="594"/>
        <n v="828"/>
        <n v="382"/>
        <n v="454"/>
        <n v="292"/>
        <n v="470"/>
        <n v="1277"/>
        <n v="517"/>
        <n v="348"/>
        <n v="558"/>
        <n v="508"/>
        <n v="706"/>
        <n v="479"/>
        <n v="120"/>
        <n v="441"/>
        <n v="1395"/>
        <n v="96"/>
        <n v="720"/>
        <n v="416"/>
        <n v="795"/>
        <n v="956"/>
        <n v="450"/>
        <n v="842"/>
        <n v="1070"/>
        <n v="365"/>
        <n v="173"/>
        <n v="885"/>
        <n v="145"/>
        <n v="665"/>
        <n v="189"/>
        <n v="738"/>
        <n v="391"/>
        <n v="1140"/>
        <n v="180"/>
        <n v="1091"/>
      </sharedItems>
    </cacheField>
    <cacheField name="Total_Followers" numFmtId="0">
      <sharedItems containsSemiMixedTypes="0" containsString="0" containsNumber="1" containsInteger="1" minValue="0" maxValue="1186398" count="200">
        <n v="103777"/>
        <n v="111209"/>
        <n v="119332"/>
        <n v="127203"/>
        <n v="134418"/>
        <n v="141896"/>
        <n v="146830"/>
        <n v="150265"/>
        <n v="157717"/>
        <n v="163790"/>
        <n v="170518"/>
        <n v="176196"/>
        <n v="184850"/>
        <n v="189735"/>
        <n v="198388"/>
        <n v="204818"/>
        <n v="210260"/>
        <n v="218723"/>
        <n v="221925"/>
        <n v="224651"/>
        <n v="231802"/>
        <n v="233720"/>
        <n v="239956"/>
        <n v="243180"/>
        <n v="246766"/>
        <n v="253858"/>
        <n v="255684"/>
        <n v="257065"/>
        <n v="264494"/>
        <n v="272227"/>
        <n v="280201"/>
        <n v="289283"/>
        <n v="291024"/>
        <n v="296820"/>
        <n v="300265"/>
        <n v="306304"/>
        <n v="309517"/>
        <n v="313014"/>
        <n v="315557"/>
        <n v="320404"/>
        <n v="326199"/>
        <n v="333052"/>
        <n v="340085"/>
        <n v="347090"/>
        <n v="354010"/>
        <n v="359081"/>
        <n v="365996"/>
        <n v="370352"/>
        <n v="371865"/>
        <n v="377618"/>
        <n v="385849"/>
        <n v="391152"/>
        <n v="396672"/>
        <n v="398548"/>
        <n v="405141"/>
        <n v="413369"/>
        <n v="420811"/>
        <n v="429929"/>
        <n v="432424"/>
        <n v="438545"/>
        <n v="445769"/>
        <n v="447968"/>
        <n v="450052"/>
        <n v="453977"/>
        <n v="455286"/>
        <n v="460228"/>
        <n v="464255"/>
        <n v="471959"/>
        <n v="480320"/>
        <n v="486018"/>
        <n v="487561"/>
        <n v="490393"/>
        <n v="492814"/>
        <n v="499015"/>
        <n v="503162"/>
        <n v="507970"/>
        <n v="515737"/>
        <n v="522852"/>
        <n v="525863"/>
        <n v="531341"/>
        <n v="538906"/>
        <n v="545824"/>
        <n v="553745"/>
        <n v="562232"/>
        <n v="568671"/>
        <n v="574674"/>
        <n v="581126"/>
        <n v="589486"/>
        <n v="596704"/>
        <n v="599760"/>
        <n v="604702"/>
        <n v="606171"/>
        <n v="607188"/>
        <n v="615820"/>
        <n v="620702"/>
        <n v="625922"/>
        <n v="631128"/>
        <n v="637512"/>
        <n v="640691"/>
        <n v="647160"/>
        <n v="655645"/>
        <n v="661697"/>
        <n v="670642"/>
        <n v="675785"/>
        <n v="677154"/>
        <n v="682556"/>
        <n v="690186"/>
        <n v="694115"/>
        <n v="700757"/>
        <n v="704218"/>
        <n v="709008"/>
        <n v="709957"/>
        <n v="713549"/>
        <n v="714759"/>
        <n v="723286"/>
        <n v="729561"/>
        <n v="730928"/>
        <n v="735242"/>
        <n v="741416"/>
        <n v="748744"/>
        <n v="756944"/>
        <n v="761158"/>
        <n v="769535"/>
        <n v="772614"/>
        <n v="781868"/>
        <n v="789536"/>
        <n v="798137"/>
        <n v="799671"/>
        <n v="807142"/>
        <n v="810061"/>
        <n v="817407"/>
        <n v="818408"/>
        <n v="826926"/>
        <n v="834347"/>
        <n v="838563"/>
        <n v="846217"/>
        <n v="853477"/>
        <n v="859838"/>
        <n v="865266"/>
        <n v="868909"/>
        <n v="872714"/>
        <n v="880842"/>
        <n v="889484"/>
        <n v="897442"/>
        <n v="900862"/>
        <n v="903387"/>
        <n v="904407"/>
        <n v="911084"/>
        <n v="912374"/>
        <n v="917475"/>
        <n v="922914"/>
        <n v="928943"/>
        <n v="938068"/>
        <n v="947047"/>
        <n v="953427"/>
        <n v="959389"/>
        <n v="966020"/>
        <n v="973452"/>
        <n v="975533"/>
        <n v="979778"/>
        <n v="988501"/>
        <n v="991495"/>
        <n v="995050"/>
        <n v="997585"/>
        <n v="1005094"/>
        <n v="1013386"/>
        <n v="1018238"/>
        <n v="1025605"/>
        <n v="1034649"/>
        <n v="1037497"/>
        <n v="1041686"/>
        <n v="1051021"/>
        <n v="1057293"/>
        <n v="1063421"/>
        <n v="1064988"/>
        <n v="1066648"/>
        <n v="1073082"/>
        <n v="1077624"/>
        <n v="1085943"/>
        <n v="1087368"/>
        <n v="1095217"/>
        <n v="1101585"/>
        <n v="1106373"/>
        <n v="1112363"/>
        <n v="1117854"/>
        <n v="1124279"/>
        <n v="1131337"/>
        <n v="1134433"/>
        <n v="1135945"/>
        <n v="1138871"/>
        <n v="1146426"/>
        <n v="1151882"/>
        <n v="1152775"/>
        <n v="1157985"/>
        <n v="1160052"/>
        <n v="1168011"/>
        <n v="1170816"/>
        <n v="1177841"/>
        <n v="1178962"/>
        <n v="1186398"/>
      </sharedItems>
    </cacheField>
    <cacheField name="Engagement_Rate" numFmtId="0">
      <sharedItems containsSemiMixedTypes="0" containsString="0" containsNumber="1" minValue="0" maxValue="92.312204605638" count="200">
        <n v="56.637790647253198"/>
        <n v="69.475492091467402"/>
        <n v="92.312204605638001"/>
        <n v="16.351815601833302"/>
        <n v="35.577824398517997"/>
        <n v="52.0648925973953"/>
        <n v="19.5518626983587"/>
        <n v="49.159817655475301"/>
        <n v="12.2263294381709"/>
        <n v="54.158984064961203"/>
        <n v="9.2506362964613693"/>
        <n v="60.425889350496"/>
        <n v="57.524479307546699"/>
        <n v="14.8275225973068"/>
        <n v="5.4343004617214801"/>
        <n v="60.827661631301901"/>
        <n v="17.894035955483702"/>
        <n v="7.6914636320825904"/>
        <n v="12.8372197814577"/>
        <n v="17.412786945083699"/>
        <n v="47.634187798207101"/>
        <n v="39.284614068115701"/>
        <n v="9.8205504342462806"/>
        <n v="41.606628834608102"/>
        <n v="13.6355899921383"/>
        <n v="20.472468860544101"/>
        <n v="11.2083665774941"/>
        <n v="12.1576255032774"/>
        <n v="37.302925586213703"/>
        <n v="41.821714965818998"/>
        <n v="52.792102811909999"/>
        <n v="49.647922622483897"/>
        <n v="28.158158777282999"/>
        <n v="23.920557913887201"/>
        <n v="44.219272975538303"/>
        <n v="14.117673944839099"/>
        <n v="27.765518533715401"/>
        <n v="21.669318305251501"/>
        <n v="46.999749649033298"/>
        <n v="5.2152906954969396"/>
        <n v="14.712184893270701"/>
        <n v="44.4504161512316"/>
        <n v="28.065042562888699"/>
        <n v="26.003918292085601"/>
        <n v="13.477302901048001"/>
        <n v="4.6034181702735602"/>
        <n v="5.7694619613329099"/>
        <n v="20.4653950835961"/>
        <n v="38.012181840183899"/>
        <n v="37.861012981372703"/>
        <n v="3.6633501706626199"/>
        <n v="37.760512537325603"/>
        <n v="30.118586640851898"/>
        <n v="33.9098427291067"/>
        <n v="24.457411123534801"/>
        <n v="10.4942557376097"/>
        <n v="33.257448118038702"/>
        <n v="6.2966210699906302"/>
        <n v="6.9547481175882897"/>
        <n v="17.750287883797601"/>
        <n v="11.194362999670201"/>
        <n v="4.7335970426458998"/>
        <n v="29.921209104725701"/>
        <n v="3.5037017293827701"/>
        <n v="31.5544514876363"/>
        <n v="29.458442337276299"/>
        <n v="15.7213169486597"/>
        <n v="19.214592793017999"/>
        <n v="25.077864756828799"/>
        <n v="23.761877132122699"/>
        <n v="13.2086036413905"/>
        <n v="8.5343795690395297"/>
        <n v="12.734216154573501"/>
        <n v="25.1208881496548"/>
        <n v="25.648200778278198"/>
        <n v="13.0875839124358"/>
        <n v="2.1877429775253701"/>
        <n v="8.3562843787534504"/>
        <n v="27.040693108281101"/>
        <n v="6.8073045370110696"/>
        <n v="3.42137589857971"/>
        <n v="5.5136820660139501"/>
        <n v="26.921416897669499"/>
        <n v="3.5131404829323101"/>
        <n v="11.505070594420999"/>
        <n v="6.4069368024305904"/>
        <n v="17.5609076172809"/>
        <n v="7.2934726185185097"/>
        <n v="18.0585348849681"/>
        <n v="17.6178804855276"/>
        <n v="23.43584112505"/>
        <n v="15.1500154246904"/>
        <n v="21.7777689941171"/>
        <n v="8.7252768666168699"/>
        <n v="9.07118069540617"/>
        <n v="3.09080045117443"/>
        <n v="1.67747271551888"/>
        <n v="3.5705994553828"/>
        <n v="12.4264270919991"/>
        <n v="20.240280610668201"/>
        <n v="15.458517947974901"/>
        <n v="15.9662201883944"/>
        <n v="5.3017854533417204"/>
        <n v="10.2165629601131"/>
        <n v="4.1495730660972203"/>
        <n v="17.4475061386904"/>
        <n v="6.3556780346167603"/>
        <n v="16.625487131094999"/>
        <n v="13.4491699690478"/>
        <n v="12.3505789400441"/>
        <n v="12.913394489201799"/>
        <n v="20.7742159032167"/>
        <n v="11.5641672821348"/>
        <n v="5.9603306848881896"/>
        <n v="19.258633514266801"/>
        <n v="13.428486445958599"/>
        <n v="19.4493848915351"/>
        <n v="1.3811778978894"/>
        <n v="18.0667803230575"/>
        <n v="10.3498659087752"/>
        <n v="11.391727789638299"/>
        <n v="15.062312949479599"/>
        <n v="6.3086149427901299"/>
        <n v="5.0212654702089301"/>
        <n v="4.0220344099003897"/>
        <n v="12.407287318121"/>
        <n v="9.1811305577864406"/>
        <n v="8.1379717408784398"/>
        <n v="15.211945357818101"/>
        <n v="13.941172331466401"/>
        <n v="14.664542877660701"/>
        <n v="18.236747441374"/>
        <n v="7.10837487272138"/>
        <n v="7.64645884745795"/>
        <n v="12.9621745772232"/>
        <n v="7.2013443360272804"/>
        <n v="4.6300017457998299"/>
        <n v="7.0117859410726204"/>
        <n v="15.7972230504839"/>
        <n v="11.1244100360337"/>
        <n v="9.5052903929580594"/>
        <n v="3.7175793161543198"/>
        <n v="8.7680048207724894"/>
        <n v="7.6673478620345401"/>
        <n v="14.2487972630658"/>
        <n v="15.9033725302666"/>
        <n v="1.3997016829812201"/>
        <n v="10.5935347344482"/>
        <n v="9.2688963078737405"/>
        <n v="2.7289026948963202"/>
        <n v="14.7898937495801"/>
        <n v="2.3800168578696401"/>
        <n v="3.4123325814333301"/>
        <n v="1.9837452629067001"/>
        <n v="15.684892498324499"/>
        <n v="7.4744446725989198"/>
        <n v="4.6083932009689201"/>
        <n v="6.5651927367759297"/>
        <n v="2.90620614576852"/>
        <n v="2.5803804535313102"/>
        <n v="1.5250363934887301"/>
        <n v="3.86940932632035"/>
        <n v="2.1106477061454201"/>
        <n v="2.4004972007397898"/>
        <n v="10.4308651728097"/>
        <n v="12.4551750270874"/>
        <n v="8.7022876773406601"/>
        <n v="6.0590578244060804"/>
        <n v="6.4086467971263703"/>
        <n v="14.0304020156203"/>
        <n v="5.7680529449373399"/>
        <n v="4.2080986012648696"/>
        <n v="5.0574438684451701"/>
        <n v="5.5892257158735799"/>
        <n v="6.5457075572682504"/>
        <n v="13.8647426329961"/>
        <n v="8.1237966902808907"/>
        <n v="6.89544776285606"/>
        <n v="5.2243073531483697"/>
        <n v="12.709772588488899"/>
        <n v="9.5896977493957802"/>
        <n v="9.3041390360253597"/>
        <n v="12.215500559033901"/>
        <n v="1.64146056637986"/>
        <n v="12.414411899944"/>
        <n v="2.2102165031989398"/>
        <n v="8.1114645768679008"/>
        <n v="10.2348926732562"/>
        <n v="8.77762567729952"/>
        <n v="5.6959041015180798"/>
        <n v="11.940413075069801"/>
        <n v="6.3457020771224801"/>
        <n v="11.093752033137401"/>
        <n v="6.98713713908211"/>
        <n v="2.8935771844710398"/>
        <n v="3.8777032065622699"/>
        <n v="7.2439221876024904"/>
        <n v="9.0959645656756702"/>
        <n v="5.2275645864752196"/>
        <n v="1.67608171962529"/>
      </sharedItems>
    </cacheField>
    <cacheField name="Ad_Spend" numFmtId="0">
      <sharedItems containsSemiMixedTypes="0" containsString="0" containsNumber="1" containsInteger="1" minValue="0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:id="rId1" refreshedBy="chauh" refreshedDate="46143.067349537" createdVersion="5" refreshedVersion="5" minRefreshableVersion="3" recordCount="300">
  <cacheSource type="worksheet">
    <worksheetSource sheet="TASK 1 " ref="$A$1:$N$301"/>
  </cacheSource>
  <cacheFields count="14">
    <cacheField name="Post ID" numFmtId="0">
      <sharedItems count="300">
        <s v="A99"/>
        <s v="A98"/>
        <s v="A97"/>
        <s v="A96"/>
        <s v="A95"/>
        <s v="A94"/>
        <s v="A93"/>
        <s v="A92"/>
        <s v="A91"/>
        <s v="A90"/>
        <s v="A9"/>
        <s v="A89"/>
        <s v="A88"/>
        <s v="A87"/>
        <s v="A86"/>
        <s v="A85"/>
        <s v="A84"/>
        <s v="A83"/>
        <s v="A82"/>
        <s v="A81"/>
        <s v="A80"/>
        <s v="A8"/>
        <s v="A79"/>
        <s v="A78"/>
        <s v="A77"/>
        <s v="A76"/>
        <s v="A75"/>
        <s v="A74"/>
        <s v="A73"/>
        <s v="A72"/>
        <s v="A71"/>
        <s v="A70"/>
        <s v="A7"/>
        <s v="A69"/>
        <s v="A68"/>
        <s v="A67"/>
        <s v="A66"/>
        <s v="A65"/>
        <s v="A64"/>
        <s v="A63"/>
        <s v="A62"/>
        <s v="A61"/>
        <s v="A60"/>
        <s v="A6"/>
        <s v="A59"/>
        <s v="A58"/>
        <s v="A57"/>
        <s v="A56"/>
        <s v="A55"/>
        <s v="A54"/>
        <s v="A53"/>
        <s v="A52"/>
        <s v="A51"/>
        <s v="A50"/>
        <s v="A5"/>
        <s v="A49"/>
        <s v="A48"/>
        <s v="A47"/>
        <s v="A46"/>
        <s v="A45"/>
        <s v="A44"/>
        <s v="A43"/>
        <s v="A42"/>
        <s v="A41"/>
        <s v="A40"/>
        <s v="A4"/>
        <s v="A39"/>
        <s v="A38"/>
        <s v="A37"/>
        <s v="A36"/>
        <s v="A35"/>
        <s v="A34"/>
        <s v="A33"/>
        <s v="A32"/>
        <s v="A31"/>
        <s v="A300"/>
        <s v="A30"/>
        <s v="A3"/>
        <s v="A299"/>
        <s v="A298"/>
        <s v="A297"/>
        <s v="A296"/>
        <s v="A295"/>
        <s v="A294"/>
        <s v="A293"/>
        <s v="A292"/>
        <s v="A291"/>
        <s v="A290"/>
        <s v="A29"/>
        <s v="A289"/>
        <s v="A288"/>
        <s v="A287"/>
        <s v="A286"/>
        <s v="A285"/>
        <s v="A284"/>
        <s v="A283"/>
        <s v="A282"/>
        <s v="A281"/>
        <s v="A280"/>
        <s v="A28"/>
        <s v="A279"/>
        <s v="A278"/>
        <s v="A277"/>
        <s v="A276"/>
        <s v="A275"/>
        <s v="A274"/>
        <s v="A273"/>
        <s v="A272"/>
        <s v="A271"/>
        <s v="A270"/>
        <s v="A27"/>
        <s v="A269"/>
        <s v="A268"/>
        <s v="A267"/>
        <s v="A266"/>
        <s v="A265"/>
        <s v="A264"/>
        <s v="A263"/>
        <s v="A262"/>
        <s v="A261"/>
        <s v="A260"/>
        <s v="A26"/>
        <s v="A259"/>
        <s v="A258"/>
        <s v="A257"/>
        <s v="A256"/>
        <s v="A255"/>
        <s v="A254"/>
        <s v="A253"/>
        <s v="A252"/>
        <s v="A251"/>
        <s v="A250"/>
        <s v="A25"/>
        <s v="A249"/>
        <s v="A248"/>
        <s v="A247"/>
        <s v="A246"/>
        <s v="A245"/>
        <s v="A244"/>
        <s v="A243"/>
        <s v="A242"/>
        <s v="A241"/>
        <s v="A240"/>
        <s v="A24"/>
        <s v="A239"/>
        <s v="A238"/>
        <s v="A237"/>
        <s v="A236"/>
        <s v="A235"/>
        <s v="A234"/>
        <s v="A233"/>
        <s v="A232"/>
        <s v="A231"/>
        <s v="A230"/>
        <s v="A23"/>
        <s v="A229"/>
        <s v="A228"/>
        <s v="A227"/>
        <s v="A226"/>
        <s v="A225"/>
        <s v="A224"/>
        <s v="A223"/>
        <s v="A222"/>
        <s v="A221"/>
        <s v="A220"/>
        <s v="A22"/>
        <s v="A219"/>
        <s v="A218"/>
        <s v="A217"/>
        <s v="A216"/>
        <s v="A215"/>
        <s v="A214"/>
        <s v="A213"/>
        <s v="A212"/>
        <s v="A211"/>
        <s v="A210"/>
        <s v="A21"/>
        <s v="A209"/>
        <s v="A208"/>
        <s v="A207"/>
        <s v="A206"/>
        <s v="A205"/>
        <s v="A204"/>
        <s v="A203"/>
        <s v="A202"/>
        <s v="A201"/>
        <s v="A200"/>
        <s v="A20"/>
        <s v="A2"/>
        <s v="A199"/>
        <s v="A198"/>
        <s v="A197"/>
        <s v="A196"/>
        <s v="A195"/>
        <s v="A194"/>
        <s v="A193"/>
        <s v="A192"/>
        <s v="A191"/>
        <s v="A190"/>
        <s v="A19"/>
        <s v="A189"/>
        <s v="A188"/>
        <s v="A187"/>
        <s v="A186"/>
        <s v="A185"/>
        <s v="A184"/>
        <s v="A183"/>
        <s v="A182"/>
        <s v="A181"/>
        <s v="A180"/>
        <s v="A18"/>
        <s v="A179"/>
        <s v="A178"/>
        <s v="A177"/>
        <s v="A176"/>
        <s v="A175"/>
        <s v="A174"/>
        <s v="A173"/>
        <s v="A172"/>
        <s v="A171"/>
        <s v="A170"/>
        <s v="A17"/>
        <s v="A169"/>
        <s v="A168"/>
        <s v="A167"/>
        <s v="A166"/>
        <s v="A165"/>
        <s v="A164"/>
        <s v="A163"/>
        <s v="A162"/>
        <s v="A161"/>
        <s v="A160"/>
        <s v="A16"/>
        <s v="A159"/>
        <s v="A158"/>
        <s v="A157"/>
        <s v="A156"/>
        <s v="A155"/>
        <s v="A154"/>
        <s v="A153"/>
        <s v="A152"/>
        <s v="A151"/>
        <s v="A150"/>
        <s v="A15"/>
        <s v="A149"/>
        <s v="A148"/>
        <s v="A147"/>
        <s v="A146"/>
        <s v="A145"/>
        <s v="A144"/>
        <s v="A143"/>
        <s v="A142"/>
        <s v="A141"/>
        <s v="A140"/>
        <s v="A14"/>
        <s v="A139"/>
        <s v="A138"/>
        <s v="A137"/>
        <s v="A136"/>
        <s v="A135"/>
        <s v="A134"/>
        <s v="A133"/>
        <s v="A132"/>
        <s v="A131"/>
        <s v="A130"/>
        <s v="A13"/>
        <s v="A129"/>
        <s v="A128"/>
        <s v="A127"/>
        <s v="A126"/>
        <s v="A125"/>
        <s v="A124"/>
        <s v="A123"/>
        <s v="A122"/>
        <s v="A121"/>
        <s v="A120"/>
        <s v="A12"/>
        <s v="A119"/>
        <s v="A118"/>
        <s v="A117"/>
        <s v="A116"/>
        <s v="A115"/>
        <s v="A114"/>
        <s v="A113"/>
        <s v="A112"/>
        <s v="A111"/>
        <s v="A110"/>
        <s v="A11"/>
        <s v="A109"/>
        <s v="A108"/>
        <s v="A107"/>
        <s v="A106"/>
        <s v="A105"/>
        <s v="A104"/>
        <s v="A103"/>
        <s v="A102"/>
        <s v="A101"/>
        <s v="A100"/>
        <s v="A10"/>
        <s v="A1"/>
      </sharedItems>
    </cacheField>
    <cacheField name="Platform" numFmtId="0">
      <sharedItems count="4">
        <s v="Twitter"/>
        <s v="Linkedin"/>
        <s v="Youtube"/>
        <s v="Instagram"/>
      </sharedItems>
    </cacheField>
    <cacheField name="Date" numFmtId="164">
      <sharedItems containsSemiMixedTypes="0" containsNonDate="0" containsDate="1" containsString="0" minDate="2024-01-06T00:00:00" maxDate="2025-12-10T00:00:00" count="210">
        <d v="2024-02-07T00:00:00"/>
        <d v="2024-10-06T00:00:00"/>
        <d v="2024-08-13T00:00:00"/>
        <d v="2024-10-09T00:00:00"/>
        <d v="2024-08-11T00:00:00"/>
        <d v="2024-07-11T00:00:00"/>
        <d v="2024-11-12T00:00:00"/>
        <d v="2024-10-21T00:00:00"/>
        <d v="2025-09-24T00:00:00"/>
        <d v="2024-03-06T00:00:00"/>
        <d v="2024-08-30T00:00:00"/>
        <d v="2025-09-23T00:00:00"/>
        <d v="2024-07-07T00:00:00"/>
        <d v="2024-06-06T00:00:00"/>
        <d v="2025-01-27T00:00:00"/>
        <d v="2025-04-19T00:00:00"/>
        <d v="2024-09-12T00:00:00"/>
        <d v="2024-10-15T00:00:00"/>
        <d v="2024-07-24T00:00:00"/>
        <d v="2024-10-19T00:00:00"/>
        <d v="2024-06-13T00:00:00"/>
        <d v="2024-07-13T00:00:00"/>
        <d v="2025-09-22T00:00:00"/>
        <d v="2024-06-17T00:00:00"/>
        <d v="2025-04-03T00:00:00"/>
        <d v="2024-01-08T00:00:00"/>
        <d v="2024-10-28T00:00:00"/>
        <d v="2025-09-21T00:00:00"/>
        <d v="2025-03-03T00:00:00"/>
        <d v="2024-02-09T00:00:00"/>
        <d v="2025-02-04T00:00:00"/>
        <d v="2024-06-24T00:00:00"/>
        <d v="2025-08-03T00:00:00"/>
        <d v="2024-08-12T00:00:00"/>
        <d v="2025-03-29T00:00:00"/>
        <d v="2024-07-26T00:00:00"/>
        <d v="2025-03-28T00:00:00"/>
        <d v="2024-08-17T00:00:00"/>
        <d v="2024-07-31T00:00:00"/>
        <d v="2025-09-20T00:00:00"/>
        <d v="2024-05-09T00:00:00"/>
        <d v="2025-01-28T00:00:00"/>
        <d v="2025-05-09T00:00:00"/>
        <d v="2024-06-22T00:00:00"/>
        <d v="2025-04-15T00:00:00"/>
        <d v="2024-12-18T00:00:00"/>
        <d v="2025-03-13T00:00:00"/>
        <d v="2025-02-24T00:00:00"/>
        <d v="2025-09-19T00:00:00"/>
        <d v="2024-03-07T00:00:00"/>
        <d v="2025-04-09T00:00:00"/>
        <d v="2025-09-18T00:00:00"/>
        <d v="2025-11-03T00:00:00"/>
        <d v="2025-02-05T00:00:00"/>
        <d v="2025-09-17T00:00:00"/>
        <d v="2025-02-03T00:00:00"/>
        <d v="2025-09-16T00:00:00"/>
        <d v="2025-05-03T00:00:00"/>
        <d v="2025-09-15T00:00:00"/>
        <d v="2025-09-14T00:00:00"/>
        <d v="2024-12-08T00:00:00"/>
        <d v="2025-09-13T00:00:00"/>
        <d v="2025-02-17T00:00:00"/>
        <d v="2025-06-01T00:00:00"/>
        <d v="2024-11-30T00:00:00"/>
        <d v="2025-12-09T00:00:00"/>
        <d v="2025-11-09T00:00:00"/>
        <d v="2024-12-16T00:00:00"/>
        <d v="2025-09-26T00:00:00"/>
        <d v="2025-02-25T00:00:00"/>
        <d v="2025-12-05T00:00:00"/>
        <d v="2025-09-25T00:00:00"/>
        <d v="2024-12-24T00:00:00"/>
        <d v="2025-11-02T00:00:00"/>
        <d v="2025-06-05T00:00:00"/>
        <d v="2024-06-19T00:00:00"/>
        <d v="2025-05-14T00:00:00"/>
        <d v="2024-11-17T00:00:00"/>
        <d v="2024-06-11T00:00:00"/>
        <d v="2025-10-09T00:00:00"/>
        <d v="2024-11-28T00:00:00"/>
        <d v="2025-04-17T00:00:00"/>
        <d v="2024-08-15T00:00:00"/>
        <d v="2024-07-18T00:00:00"/>
        <d v="2024-09-17T00:00:00"/>
        <d v="2025-09-05T00:00:00"/>
        <d v="2024-03-10T00:00:00"/>
        <d v="2025-03-22T00:00:00"/>
        <d v="2024-11-26T00:00:00"/>
        <d v="2025-06-04T00:00:00"/>
        <d v="2024-07-06T00:00:00"/>
        <d v="2024-05-08T00:00:00"/>
        <d v="2025-01-01T00:00:00"/>
        <d v="2024-12-10T00:00:00"/>
        <d v="2025-03-27T00:00:00"/>
        <d v="2024-10-17T00:00:00"/>
        <d v="2025-01-15T00:00:00"/>
        <d v="2024-05-11T00:00:00"/>
        <d v="2025-04-13T00:00:00"/>
        <d v="2024-04-10T00:00:00"/>
        <d v="2024-11-25T00:00:00"/>
        <d v="2025-02-20T00:00:00"/>
        <d v="2025-01-30T00:00:00"/>
        <d v="2024-08-20T00:00:00"/>
        <d v="2025-01-18T00:00:00"/>
        <d v="2024-10-27T00:00:00"/>
        <d v="2025-12-02T00:00:00"/>
        <d v="2025-05-04T00:00:00"/>
        <d v="2025-10-02T00:00:00"/>
        <d v="2025-03-04T00:00:00"/>
        <d v="2025-01-14T00:00:00"/>
        <d v="2025-04-28T00:00:00"/>
        <d v="2025-09-09T00:00:00"/>
        <d v="2024-08-27T00:00:00"/>
        <d v="2024-11-10T00:00:00"/>
        <d v="2025-12-01T00:00:00"/>
        <d v="2025-06-03T00:00:00"/>
        <d v="2025-01-23T00:00:00"/>
        <d v="2024-07-16T00:00:00"/>
        <d v="2024-10-22T00:00:00"/>
        <d v="2024-08-19T00:00:00"/>
        <d v="2024-12-22T00:00:00"/>
        <d v="2024-01-06T00:00:00"/>
        <d v="2025-04-29T00:00:00"/>
        <d v="2024-07-15T00:00:00"/>
        <d v="2024-01-07T00:00:00"/>
        <d v="2024-12-06T00:00:00"/>
        <d v="2025-08-09T00:00:00"/>
        <d v="2024-06-20T00:00:00"/>
        <d v="2025-07-09T00:00:00"/>
        <d v="2024-12-11T00:00:00"/>
        <d v="2024-08-10T00:00:00"/>
        <d v="2025-03-23T00:00:00"/>
        <d v="2024-02-06T00:00:00"/>
        <d v="2025-02-27T00:00:00"/>
        <d v="2024-11-06T00:00:00"/>
        <d v="2024-07-29T00:00:00"/>
        <d v="2024-12-23T00:00:00"/>
        <d v="2025-01-05T00:00:00"/>
        <d v="2025-02-19T00:00:00"/>
        <d v="2025-03-19T00:00:00"/>
        <d v="2024-12-29T00:00:00"/>
        <d v="2024-11-21T00:00:00"/>
        <d v="2025-07-04T00:00:00"/>
        <d v="2024-09-09T00:00:00"/>
        <d v="2025-03-09T00:00:00"/>
        <d v="2024-02-10T00:00:00"/>
        <d v="2024-11-09T00:00:00"/>
        <d v="2025-10-15T00:00:00"/>
        <d v="2025-10-14T00:00:00"/>
        <d v="2024-06-23T00:00:00"/>
        <d v="2025-03-24T00:00:00"/>
        <d v="2024-08-24T00:00:00"/>
        <d v="2025-11-01T00:00:00"/>
        <d v="2025-10-13T00:00:00"/>
        <d v="2024-12-17T00:00:00"/>
        <d v="2025-12-10T00:00:00"/>
        <d v="2025-11-10T00:00:00"/>
        <d v="2025-10-10T00:00:00"/>
        <d v="2024-10-07T00:00:00"/>
        <d v="2025-09-10T00:00:00"/>
        <d v="2025-08-10T00:00:00"/>
        <d v="2024-05-12T00:00:00"/>
        <d v="2024-08-14T00:00:00"/>
        <d v="2024-12-31T00:00:00"/>
        <d v="2025-05-05T00:00:00"/>
        <d v="2024-03-12T00:00:00"/>
        <d v="2025-02-16T00:00:00"/>
        <d v="2025-07-10T00:00:00"/>
        <d v="2025-08-04T00:00:00"/>
        <d v="2025-01-04T00:00:00"/>
        <d v="2025-06-10T00:00:00"/>
        <d v="2024-08-26T00:00:00"/>
        <d v="2025-05-10T00:00:00"/>
        <d v="2024-11-08T00:00:00"/>
        <d v="2024-07-23T00:00:00"/>
        <d v="2024-12-21T00:00:00"/>
        <d v="2024-09-10T00:00:00"/>
        <d v="2025-04-10T00:00:00"/>
        <d v="2024-08-22T00:00:00"/>
        <d v="2024-06-16T00:00:00"/>
        <d v="2024-05-06T00:00:00"/>
        <d v="2025-03-25T00:00:00"/>
        <d v="2025-03-10T00:00:00"/>
        <d v="2025-06-09T00:00:00"/>
        <d v="2024-10-29T00:00:00"/>
        <d v="2025-02-10T00:00:00"/>
        <d v="2025-01-10T00:00:00"/>
        <d v="2025-06-02T00:00:00"/>
        <d v="2024-09-29T00:00:00"/>
        <d v="2024-11-18T00:00:00"/>
        <d v="2024-07-21T00:00:00"/>
        <d v="2025-10-01T00:00:00"/>
        <d v="2024-08-09T00:00:00"/>
        <d v="2024-06-14T00:00:00"/>
        <d v="2025-07-02T00:00:00"/>
        <d v="2024-04-11T00:00:00"/>
        <d v="2025-03-18T00:00:00"/>
        <d v="2025-09-30T00:00:00"/>
        <d v="2024-11-14T00:00:00"/>
        <d v="2025-09-29T00:00:00"/>
        <d v="2024-05-10T00:00:00"/>
        <d v="2024-11-23T00:00:00"/>
        <d v="2025-02-02T00:00:00"/>
        <d v="2024-08-08T00:00:00"/>
        <d v="2025-09-28T00:00:00"/>
        <d v="2024-06-21T00:00:00"/>
        <d v="2025-04-02T00:00:00"/>
        <d v="2025-09-27T00:00:00"/>
        <d v="2024-10-18T00:00:00"/>
      </sharedItems>
    </cacheField>
    <cacheField name="Content Type" numFmtId="0">
      <sharedItems count="4">
        <s v="Carousel"/>
        <s v="Video"/>
        <s v="Tweet"/>
        <s v="Image"/>
      </sharedItems>
    </cacheField>
    <cacheField name="Hashtags 1" numFmtId="0">
      <sharedItems count="11">
        <s v="#AppleMusic"/>
        <s v="#Sustainability"/>
        <s v="#AppleWatch"/>
        <s v="#AppleEvent"/>
        <s v="#iPhone16Launch"/>
        <s v="#MacBookAirM3"/>
        <s v="#ShotOniPhone"/>
        <s v="#AppleWatchUltra2"/>
        <s v="#AppleDesign"/>
        <s v="#MacBookProM3"/>
        <s v="#iPhonePhotography"/>
      </sharedItems>
    </cacheField>
    <cacheField name="Hashtags 2" numFmtId="0">
      <sharedItems count="11">
        <s v="#AppleLifestyle"/>
        <s v="#AppleEarth"/>
        <s v="#Health"/>
        <s v="#iPadPro"/>
        <s v="#AppleEvent"/>
        <s v="#AppleInnovation"/>
        <s v="#iPhone16"/>
        <s v="NA"/>
        <s v="#HealthTech"/>
        <s v="#Innovation"/>
        <s v="#ShotOniPhone"/>
      </sharedItems>
    </cacheField>
    <cacheField name="Likes" numFmtId="0">
      <sharedItems containsSemiMixedTypes="0" containsString="0" containsNumber="1" containsInteger="1" minValue="0" maxValue="24984" count="296">
        <n v="12320"/>
        <n v="21561"/>
        <n v="6854"/>
        <n v="6637"/>
        <n v="23499"/>
        <n v="11550"/>
        <n v="22645"/>
        <n v="19715"/>
        <n v="12209"/>
        <n v="8941"/>
        <n v="6804"/>
        <n v="10017"/>
        <n v="24625"/>
        <n v="11521"/>
        <n v="8949"/>
        <n v="8881"/>
        <n v="15051"/>
        <n v="17781"/>
        <n v="22914"/>
        <n v="6673"/>
        <n v="14173"/>
        <n v="18639"/>
        <n v="8996"/>
        <n v="3252"/>
        <n v="13470"/>
        <n v="17254"/>
        <n v="21758"/>
        <n v="21198"/>
        <n v="23103"/>
        <n v="24928"/>
        <n v="12040"/>
        <n v="6858"/>
        <n v="7713"/>
        <n v="10580"/>
        <n v="10427"/>
        <n v="19461"/>
        <n v="12176"/>
        <n v="6363"/>
        <n v="19154"/>
        <n v="12357"/>
        <n v="18633"/>
        <n v="16489"/>
        <n v="9239"/>
        <n v="14677"/>
        <n v="16430"/>
        <n v="5419"/>
        <n v="12015"/>
        <n v="14775"/>
        <n v="6976"/>
        <n v="6544"/>
        <n v="23949"/>
        <n v="19100"/>
        <n v="23164"/>
        <n v="14338"/>
        <n v="21708"/>
        <n v="4048"/>
        <n v="7997"/>
        <n v="24984"/>
        <n v="17444"/>
        <n v="15456"/>
        <n v="22562"/>
        <n v="6809"/>
        <n v="12916"/>
        <n v="5636"/>
        <n v="19844"/>
        <n v="3581"/>
        <n v="17106"/>
        <n v="7989"/>
        <n v="11860"/>
        <n v="20384"/>
        <n v="14763"/>
        <n v="17158"/>
        <n v="10175"/>
        <n v="2404"/>
        <n v="2384"/>
        <n v="21216"/>
        <n v="10702"/>
        <n v="19308"/>
        <n v="12568"/>
        <n v="3342"/>
        <n v="10512"/>
        <n v="3619"/>
        <n v="7287"/>
        <n v="20444"/>
        <n v="9041"/>
        <n v="4219"/>
        <n v="11865"/>
        <n v="24422"/>
        <n v="9266"/>
        <n v="18644"/>
        <n v="2009"/>
        <n v="14977"/>
        <n v="22128"/>
        <n v="16594"/>
        <n v="20410"/>
        <n v="8988"/>
        <n v="22618"/>
        <n v="3917"/>
        <n v="3828"/>
        <n v="12344"/>
        <n v="11765"/>
        <n v="14607"/>
        <n v="14941"/>
        <n v="8233"/>
        <n v="8283"/>
        <n v="6208"/>
        <n v="14819"/>
        <n v="18608"/>
        <n v="11333"/>
        <n v="20017"/>
        <n v="8469"/>
        <n v="24700"/>
        <n v="15746"/>
        <n v="17385"/>
        <n v="15703"/>
        <n v="12954"/>
        <n v="2846"/>
        <n v="22673"/>
        <n v="7560"/>
        <n v="15234"/>
        <n v="22384"/>
        <n v="16309"/>
        <n v="20935"/>
        <n v="15917"/>
        <n v="2117"/>
        <n v="10837"/>
        <n v="24350"/>
        <n v="16043"/>
        <n v="10659"/>
        <n v="18389"/>
        <n v="7342"/>
        <n v="15772"/>
        <n v="11111"/>
        <n v="12787"/>
        <n v="6324"/>
        <n v="19447"/>
        <n v="4590"/>
        <n v="15046"/>
        <n v="22119"/>
        <n v="15918"/>
        <n v="12589"/>
        <n v="21901"/>
        <n v="23168"/>
        <n v="13613"/>
        <n v="8767"/>
        <n v="7622"/>
        <n v="3605"/>
        <n v="20117"/>
        <n v="5812"/>
        <n v="16277"/>
        <n v="19260"/>
        <n v="12554"/>
        <n v="8938"/>
        <n v="12167"/>
        <n v="3761"/>
        <n v="17679"/>
        <n v="23785"/>
        <n v="21123"/>
        <n v="4472"/>
        <n v="17913"/>
        <n v="8738"/>
        <n v="17728"/>
        <n v="14199"/>
        <n v="8970"/>
        <n v="9943"/>
        <n v="14910"/>
        <n v="16369"/>
        <n v="22590"/>
        <n v="8371"/>
        <n v="18616"/>
        <n v="10258"/>
        <n v="9561"/>
        <n v="11795"/>
        <n v="8168"/>
        <n v="22309"/>
        <n v="13475"/>
        <n v="5596"/>
        <n v="8288"/>
        <n v="6632"/>
        <n v="17147"/>
        <n v="18509"/>
        <n v="8229"/>
        <n v="19680"/>
        <n v="20360"/>
        <n v="3062"/>
        <n v="6158"/>
        <n v="4779"/>
        <n v="12267"/>
        <n v="14772"/>
        <n v="7750"/>
        <n v="10152"/>
        <n v="15503"/>
        <n v="5086"/>
        <n v="3906"/>
        <n v="8882"/>
        <n v="9673"/>
        <n v="21729"/>
        <n v="16512"/>
        <n v="10172"/>
        <n v="3531"/>
        <n v="7870"/>
        <n v="24890"/>
        <n v="21181"/>
        <n v="19302"/>
        <n v="20030"/>
        <n v="7122"/>
        <n v="7126"/>
        <n v="15623"/>
        <n v="15550"/>
        <n v="17034"/>
        <n v="6621"/>
        <n v="8809"/>
        <n v="18748"/>
        <n v="17745"/>
        <n v="13479"/>
        <n v="4125"/>
        <n v="10150"/>
        <n v="10717"/>
        <n v="15013"/>
        <n v="10415"/>
        <n v="2055"/>
        <n v="19022"/>
        <n v="2302"/>
        <n v="24195"/>
        <n v="19660"/>
        <n v="16178"/>
        <n v="15568"/>
        <n v="6432"/>
        <n v="22028"/>
        <n v="22527"/>
        <n v="4193"/>
        <n v="21262"/>
        <n v="14394"/>
        <n v="24877"/>
        <n v="12478"/>
        <n v="12453"/>
        <n v="7240"/>
        <n v="24574"/>
        <n v="12488"/>
        <n v="18282"/>
        <n v="16124"/>
        <n v="3015"/>
        <n v="12160"/>
        <n v="20977"/>
        <n v="20777"/>
        <n v="18907"/>
        <n v="8376"/>
        <n v="8981"/>
        <n v="15716"/>
        <n v="5900"/>
        <n v="6777"/>
        <n v="14891"/>
        <n v="7124"/>
        <n v="23969"/>
        <n v="23508"/>
        <n v="13314"/>
        <n v="12161"/>
        <n v="19055"/>
        <n v="6188"/>
        <n v="2666"/>
        <n v="5266"/>
        <n v="20271"/>
        <n v="10472"/>
        <n v="21255"/>
        <n v="11911"/>
        <n v="14647"/>
        <n v="24415"/>
        <n v="13637"/>
        <n v="8090"/>
        <n v="8238"/>
        <n v="17183"/>
        <n v="9350"/>
        <n v="19144"/>
        <n v="8254"/>
        <n v="20290"/>
        <n v="14234"/>
        <n v="14015"/>
        <n v="5818"/>
        <n v="8269"/>
        <n v="6300"/>
        <n v="7569"/>
        <n v="16388"/>
        <n v="9941"/>
        <n v="6164"/>
        <n v="12136"/>
        <n v="24355"/>
        <n v="21963"/>
        <n v="23833"/>
        <n v="21856"/>
        <n v="24711"/>
        <n v="18521"/>
        <n v="9043"/>
        <n v="6892"/>
        <n v="20564"/>
        <n v="20222"/>
        <n v="24516"/>
      </sharedItems>
    </cacheField>
    <cacheField name="Shares" numFmtId="0">
      <sharedItems containsSemiMixedTypes="0" containsString="0" containsNumber="1" containsInteger="1" minValue="0" maxValue="1487" count="271">
        <n v="1157"/>
        <n v="340"/>
        <n v="417"/>
        <n v="595"/>
        <n v="562"/>
        <n v="501"/>
        <n v="545"/>
        <n v="1014"/>
        <n v="222"/>
        <n v="911"/>
        <n v="787"/>
        <n v="1357"/>
        <n v="749"/>
        <n v="1071"/>
        <n v="1477"/>
        <n v="210"/>
        <n v="268"/>
        <n v="993"/>
        <n v="954"/>
        <n v="826"/>
        <n v="294"/>
        <n v="1360"/>
        <n v="329"/>
        <n v="1043"/>
        <n v="523"/>
        <n v="246"/>
        <n v="1380"/>
        <n v="1484"/>
        <n v="214"/>
        <n v="1147"/>
        <n v="415"/>
        <n v="575"/>
        <n v="427"/>
        <n v="1382"/>
        <n v="1005"/>
        <n v="1341"/>
        <n v="1064"/>
        <n v="716"/>
        <n v="797"/>
        <n v="395"/>
        <n v="533"/>
        <n v="488"/>
        <n v="1150"/>
        <n v="1196"/>
        <n v="1220"/>
        <n v="1320"/>
        <n v="356"/>
        <n v="619"/>
        <n v="1122"/>
        <n v="1454"/>
        <n v="435"/>
        <n v="677"/>
        <n v="1238"/>
        <n v="753"/>
        <n v="1402"/>
        <n v="590"/>
        <n v="778"/>
        <n v="397"/>
        <n v="1262"/>
        <n v="303"/>
        <n v="1020"/>
        <n v="517"/>
        <n v="702"/>
        <n v="1206"/>
        <n v="1448"/>
        <n v="344"/>
        <n v="864"/>
        <n v="1192"/>
        <n v="342"/>
        <n v="774"/>
        <n v="1246"/>
        <n v="226"/>
        <n v="621"/>
        <n v="1318"/>
        <n v="541"/>
        <n v="1197"/>
        <n v="1376"/>
        <n v="1240"/>
        <n v="233"/>
        <n v="1133"/>
        <n v="240"/>
        <n v="241"/>
        <n v="327"/>
        <n v="999"/>
        <n v="1369"/>
        <n v="1037"/>
        <n v="274"/>
        <n v="1004"/>
        <n v="809"/>
        <n v="1332"/>
        <n v="228"/>
        <n v="641"/>
        <n v="865"/>
        <n v="203"/>
        <n v="815"/>
        <n v="693"/>
        <n v="1458"/>
        <n v="1424"/>
        <n v="436"/>
        <n v="751"/>
        <n v="720"/>
        <n v="725"/>
        <n v="1432"/>
        <n v="1338"/>
        <n v="920"/>
        <n v="495"/>
        <n v="935"/>
        <n v="258"/>
        <n v="831"/>
        <n v="1381"/>
        <n v="913"/>
        <n v="792"/>
        <n v="1053"/>
        <n v="1139"/>
        <n v="1276"/>
        <n v="601"/>
        <n v="1449"/>
        <n v="1104"/>
        <n v="1479"/>
        <n v="460"/>
        <n v="1342"/>
        <n v="670"/>
        <n v="906"/>
        <n v="288"/>
        <n v="1222"/>
        <n v="945"/>
        <n v="908"/>
        <n v="713"/>
        <n v="281"/>
        <n v="899"/>
        <n v="1114"/>
        <n v="346"/>
        <n v="1308"/>
        <n v="1265"/>
        <n v="350"/>
        <n v="974"/>
        <n v="529"/>
        <n v="206"/>
        <n v="1143"/>
        <n v="1022"/>
        <n v="934"/>
        <n v="1109"/>
        <n v="668"/>
        <n v="381"/>
        <n v="800"/>
        <n v="364"/>
        <n v="651"/>
        <n v="690"/>
        <n v="1013"/>
        <n v="1343"/>
        <n v="1301"/>
        <n v="1311"/>
        <n v="295"/>
        <n v="1487"/>
        <n v="331"/>
        <n v="1274"/>
        <n v="1452"/>
        <n v="1462"/>
        <n v="960"/>
        <n v="1277"/>
        <n v="527"/>
        <n v="642"/>
        <n v="958"/>
        <n v="512"/>
        <n v="773"/>
        <n v="1032"/>
        <n v="1231"/>
        <n v="1401"/>
        <n v="254"/>
        <n v="286"/>
        <n v="361"/>
        <n v="977"/>
        <n v="1124"/>
        <n v="277"/>
        <n v="1110"/>
        <n v="1030"/>
        <n v="1146"/>
        <n v="1445"/>
        <n v="313"/>
        <n v="1336"/>
        <n v="1187"/>
        <n v="701"/>
        <n v="393"/>
        <n v="1209"/>
        <n v="1050"/>
        <n v="1398"/>
        <n v="789"/>
        <n v="968"/>
        <n v="217"/>
        <n v="1242"/>
        <n v="1367"/>
        <n v="485"/>
        <n v="628"/>
        <n v="484"/>
        <n v="869"/>
        <n v="204"/>
        <n v="231"/>
        <n v="922"/>
        <n v="1151"/>
        <n v="634"/>
        <n v="414"/>
        <n v="1189"/>
        <n v="1364"/>
        <n v="526"/>
        <n v="760"/>
        <n v="1286"/>
        <n v="1388"/>
        <n v="675"/>
        <n v="347"/>
        <n v="888"/>
        <n v="1307"/>
        <n v="1048"/>
        <n v="1166"/>
        <n v="1272"/>
        <n v="355"/>
        <n v="924"/>
        <n v="861"/>
        <n v="1202"/>
        <n v="262"/>
        <n v="376"/>
        <n v="1384"/>
        <n v="909"/>
        <n v="1403"/>
        <n v="224"/>
        <n v="863"/>
        <n v="997"/>
        <n v="1405"/>
        <n v="962"/>
        <n v="1075"/>
        <n v="1154"/>
        <n v="1138"/>
        <n v="839"/>
        <n v="546"/>
        <n v="617"/>
        <n v="674"/>
        <n v="469"/>
        <n v="1433"/>
        <n v="585"/>
        <n v="736"/>
        <n v="443"/>
        <n v="1136"/>
        <n v="316"/>
        <n v="401"/>
        <n v="1168"/>
        <n v="860"/>
        <n v="1135"/>
        <n v="570"/>
        <n v="766"/>
        <n v="1224"/>
        <n v="1024"/>
        <n v="1182"/>
        <n v="1072"/>
        <n v="978"/>
        <n v="1252"/>
        <n v="250"/>
        <n v="1213"/>
        <n v="803"/>
        <n v="1208"/>
        <n v="1329"/>
        <n v="326"/>
        <n v="1117"/>
        <n v="1087"/>
        <n v="1356"/>
        <n v="1207"/>
        <n v="555"/>
        <n v="1203"/>
        <n v="882"/>
        <n v="1027"/>
        <n v="1184"/>
        <n v="712"/>
        <n v="976"/>
      </sharedItems>
    </cacheField>
    <cacheField name="Comments" numFmtId="0">
      <sharedItems containsSemiMixedTypes="0" containsString="0" containsNumber="1" containsInteger="1" minValue="0" maxValue="999" count="246">
        <n v="365"/>
        <n v="741"/>
        <n v="467"/>
        <n v="161"/>
        <n v="964"/>
        <n v="646"/>
        <n v="972"/>
        <n v="718"/>
        <n v="479"/>
        <n v="166"/>
        <n v="970"/>
        <n v="966"/>
        <n v="193"/>
        <n v="762"/>
        <n v="424"/>
        <n v="673"/>
        <n v="251"/>
        <n v="627"/>
        <n v="584"/>
        <n v="321"/>
        <n v="257"/>
        <n v="898"/>
        <n v="378"/>
        <n v="647"/>
        <n v="280"/>
        <n v="952"/>
        <n v="188"/>
        <n v="174"/>
        <n v="191"/>
        <n v="765"/>
        <n v="210"/>
        <n v="366"/>
        <n v="417"/>
        <n v="790"/>
        <n v="445"/>
        <n v="862"/>
        <n v="222"/>
        <n v="650"/>
        <n v="599"/>
        <n v="303"/>
        <n v="350"/>
        <n v="631"/>
        <n v="759"/>
        <n v="514"/>
        <n v="656"/>
        <n v="998"/>
        <n v="640"/>
        <n v="393"/>
        <n v="888"/>
        <n v="616"/>
        <n v="297"/>
        <n v="900"/>
        <n v="697"/>
        <n v="317"/>
        <n v="911"/>
        <n v="438"/>
        <n v="461"/>
        <n v="218"/>
        <n v="555"/>
        <n v="907"/>
        <n v="813"/>
        <n v="772"/>
        <n v="204"/>
        <n v="247"/>
        <n v="880"/>
        <n v="459"/>
        <n v="376"/>
        <n v="893"/>
        <n v="956"/>
        <n v="336"/>
        <n v="262"/>
        <n v="825"/>
        <n v="661"/>
        <n v="160"/>
        <n v="187"/>
        <n v="795"/>
        <n v="273"/>
        <n v="375"/>
        <n v="544"/>
        <n v="410"/>
        <n v="686"/>
        <n v="189"/>
        <n v="612"/>
        <n v="670"/>
        <n v="319"/>
        <n v="481"/>
        <n v="928"/>
        <n v="887"/>
        <n v="344"/>
        <n v="798"/>
        <n v="690"/>
        <n v="784"/>
        <n v="472"/>
        <n v="766"/>
        <n v="416"/>
        <n v="506"/>
        <n v="298"/>
        <n v="729"/>
        <n v="478"/>
        <n v="238"/>
        <n v="269"/>
        <n v="930"/>
        <n v="309"/>
        <n v="152"/>
        <n v="294"/>
        <n v="178"/>
        <n v="211"/>
        <n v="999"/>
        <n v="839"/>
        <n v="568"/>
        <n v="639"/>
        <n v="722"/>
        <n v="902"/>
        <n v="169"/>
        <n v="248"/>
        <n v="943"/>
        <n v="838"/>
        <n v="876"/>
        <n v="196"/>
        <n v="203"/>
        <n v="922"/>
        <n v="666"/>
        <n v="923"/>
        <n v="408"/>
        <n v="655"/>
        <n v="520"/>
        <n v="367"/>
        <n v="974"/>
        <n v="256"/>
        <n v="515"/>
        <n v="642"/>
        <n v="392"/>
        <n v="724"/>
        <n v="441"/>
        <n v="809"/>
        <n v="733"/>
        <n v="720"/>
        <n v="921"/>
        <n v="713"/>
        <n v="860"/>
        <n v="302"/>
        <n v="994"/>
        <n v="842"/>
        <n v="493"/>
        <n v="451"/>
        <n v="468"/>
        <n v="589"/>
        <n v="859"/>
        <n v="529"/>
        <n v="954"/>
        <n v="968"/>
        <n v="289"/>
        <n v="548"/>
        <n v="734"/>
        <n v="854"/>
        <n v="581"/>
        <n v="814"/>
        <n v="442"/>
        <n v="295"/>
        <n v="473"/>
        <n v="819"/>
        <n v="525"/>
        <n v="291"/>
        <n v="578"/>
        <n v="726"/>
        <n v="538"/>
        <n v="512"/>
        <n v="436"/>
        <n v="489"/>
        <n v="508"/>
        <n v="415"/>
        <n v="526"/>
        <n v="388"/>
        <n v="897"/>
        <n v="421"/>
        <n v="846"/>
        <n v="971"/>
        <n v="394"/>
        <n v="626"/>
        <n v="963"/>
        <n v="757"/>
        <n v="565"/>
        <n v="423"/>
        <n v="279"/>
        <n v="290"/>
        <n v="908"/>
        <n v="400"/>
        <n v="563"/>
        <n v="695"/>
        <n v="460"/>
        <n v="725"/>
        <n v="575"/>
        <n v="165"/>
        <n v="310"/>
        <n v="871"/>
        <n v="546"/>
        <n v="498"/>
        <n v="665"/>
        <n v="707"/>
        <n v="676"/>
        <n v="513"/>
        <n v="332"/>
        <n v="320"/>
        <n v="962"/>
        <n v="337"/>
        <n v="783"/>
        <n v="769"/>
        <n v="301"/>
        <n v="308"/>
        <n v="675"/>
        <n v="422"/>
        <n v="764"/>
        <n v="592"/>
        <n v="551"/>
        <n v="521"/>
        <n v="851"/>
        <n v="372"/>
        <n v="743"/>
        <n v="976"/>
        <n v="989"/>
        <n v="837"/>
        <n v="286"/>
        <n v="668"/>
        <n v="625"/>
        <n v="778"/>
        <n v="484"/>
        <n v="931"/>
        <n v="540"/>
        <n v="399"/>
        <n v="235"/>
        <n v="550"/>
        <n v="927"/>
        <n v="437"/>
        <n v="687"/>
        <n v="638"/>
        <n v="804"/>
        <n v="615"/>
        <n v="834"/>
        <n v="349"/>
        <n v="523"/>
        <n v="634"/>
        <n v="230"/>
        <n v="810"/>
        <n v="925"/>
        <n v="488"/>
        <n v="604"/>
      </sharedItems>
    </cacheField>
    <cacheField name="Clicks" numFmtId="0">
      <sharedItems containsSemiMixedTypes="0" containsString="0" containsNumber="1" containsInteger="1" minValue="0" maxValue="2936" count="281">
        <n v="584"/>
        <n v="986"/>
        <n v="1003"/>
        <n v="2653"/>
        <n v="2557"/>
        <n v="773"/>
        <n v="321"/>
        <n v="1185"/>
        <n v="2748"/>
        <n v="1217"/>
        <n v="1095"/>
        <n v="2871"/>
        <n v="1340"/>
        <n v="2539"/>
        <n v="1030"/>
        <n v="1565"/>
        <n v="783"/>
        <n v="2187"/>
        <n v="1519"/>
        <n v="577"/>
        <n v="1288"/>
        <n v="2011"/>
        <n v="2384"/>
        <n v="1545"/>
        <n v="2682"/>
        <n v="871"/>
        <n v="1735"/>
        <n v="1293"/>
        <n v="1547"/>
        <n v="1556"/>
        <n v="885"/>
        <n v="2761"/>
        <n v="336"/>
        <n v="2814"/>
        <n v="1649"/>
        <n v="1307"/>
        <n v="974"/>
        <n v="2712"/>
        <n v="747"/>
        <n v="999"/>
        <n v="659"/>
        <n v="2364"/>
        <n v="753"/>
        <n v="1436"/>
        <n v="1990"/>
        <n v="1848"/>
        <n v="2285"/>
        <n v="594"/>
        <n v="1847"/>
        <n v="2312"/>
        <n v="888"/>
        <n v="2703"/>
        <n v="1213"/>
        <n v="2429"/>
        <n v="1874"/>
        <n v="2710"/>
        <n v="725"/>
        <n v="2882"/>
        <n v="1354"/>
        <n v="1125"/>
        <n v="856"/>
        <n v="2480"/>
        <n v="2354"/>
        <n v="1925"/>
        <n v="2769"/>
        <n v="490"/>
        <n v="655"/>
        <n v="1493"/>
        <n v="2016"/>
        <n v="2904"/>
        <n v="662"/>
        <n v="2004"/>
        <n v="1573"/>
        <n v="2918"/>
        <n v="1499"/>
        <n v="2767"/>
        <n v="907"/>
        <n v="2012"/>
        <n v="2499"/>
        <n v="1255"/>
        <n v="2879"/>
        <n v="1687"/>
        <n v="815"/>
        <n v="703"/>
        <n v="2371"/>
        <n v="2700"/>
        <n v="1256"/>
        <n v="2277"/>
        <n v="458"/>
        <n v="2048"/>
        <n v="1655"/>
        <n v="1202"/>
        <n v="652"/>
        <n v="1530"/>
        <n v="2282"/>
        <n v="2440"/>
        <n v="2439"/>
        <n v="744"/>
        <n v="334"/>
        <n v="1054"/>
        <n v="2037"/>
        <n v="1382"/>
        <n v="611"/>
        <n v="848"/>
        <n v="961"/>
        <n v="2289"/>
        <n v="606"/>
        <n v="2683"/>
        <n v="2635"/>
        <n v="994"/>
        <n v="2656"/>
        <n v="2227"/>
        <n v="984"/>
        <n v="1049"/>
        <n v="2469"/>
        <n v="1566"/>
        <n v="1624"/>
        <n v="1860"/>
        <n v="515"/>
        <n v="2434"/>
        <n v="1270"/>
        <n v="313"/>
        <n v="1173"/>
        <n v="1108"/>
        <n v="814"/>
        <n v="1194"/>
        <n v="709"/>
        <n v="1199"/>
        <n v="1585"/>
        <n v="507"/>
        <n v="1407"/>
        <n v="758"/>
        <n v="2730"/>
        <n v="550"/>
        <n v="410"/>
        <n v="1641"/>
        <n v="2183"/>
        <n v="1612"/>
        <n v="2013"/>
        <n v="1587"/>
        <n v="1015"/>
        <n v="852"/>
        <n v="1739"/>
        <n v="2570"/>
        <n v="2356"/>
        <n v="2225"/>
        <n v="934"/>
        <n v="2286"/>
        <n v="2072"/>
        <n v="616"/>
        <n v="2294"/>
        <n v="2195"/>
        <n v="1628"/>
        <n v="727"/>
        <n v="1186"/>
        <n v="405"/>
        <n v="442"/>
        <n v="2009"/>
        <n v="2296"/>
        <n v="389"/>
        <n v="2541"/>
        <n v="2463"/>
        <n v="2936"/>
        <n v="2249"/>
        <n v="2068"/>
        <n v="2572"/>
        <n v="301"/>
        <n v="2343"/>
        <n v="2387"/>
        <n v="541"/>
        <n v="2251"/>
        <n v="1235"/>
        <n v="1013"/>
        <n v="1409"/>
        <n v="1633"/>
        <n v="891"/>
        <n v="1995"/>
        <n v="2935"/>
        <n v="2189"/>
        <n v="1574"/>
        <n v="1876"/>
        <n v="1411"/>
        <n v="513"/>
        <n v="1078"/>
        <n v="1715"/>
        <n v="401"/>
        <n v="1028"/>
        <n v="1891"/>
        <n v="2358"/>
        <n v="1867"/>
        <n v="465"/>
        <n v="906"/>
        <n v="1689"/>
        <n v="637"/>
        <n v="1643"/>
        <n v="2313"/>
        <n v="573"/>
        <n v="371"/>
        <n v="1646"/>
        <n v="1387"/>
        <n v="694"/>
        <n v="883"/>
        <n v="1667"/>
        <n v="2733"/>
        <n v="416"/>
        <n v="2848"/>
        <n v="1313"/>
        <n v="1316"/>
        <n v="2001"/>
        <n v="2462"/>
        <n v="820"/>
        <n v="2063"/>
        <n v="2175"/>
        <n v="1559"/>
        <n v="2802"/>
        <n v="2553"/>
        <n v="826"/>
        <n v="677"/>
        <n v="1859"/>
        <n v="992"/>
        <n v="2696"/>
        <n v="2263"/>
        <n v="1259"/>
        <n v="648"/>
        <n v="2734"/>
        <n v="2546"/>
        <n v="2335"/>
        <n v="1350"/>
        <n v="890"/>
        <n v="819"/>
        <n v="617"/>
        <n v="1980"/>
        <n v="1284"/>
        <n v="2777"/>
        <n v="1383"/>
        <n v="1907"/>
        <n v="2555"/>
        <n v="2839"/>
        <n v="1594"/>
        <n v="2109"/>
        <n v="1091"/>
        <n v="2571"/>
        <n v="1092"/>
        <n v="2155"/>
        <n v="2280"/>
        <n v="1233"/>
        <n v="869"/>
        <n v="1830"/>
        <n v="1710"/>
        <n v="2276"/>
        <n v="1982"/>
        <n v="383"/>
        <n v="1168"/>
        <n v="2650"/>
        <n v="320"/>
        <n v="1862"/>
        <n v="1273"/>
        <n v="2010"/>
        <n v="2123"/>
        <n v="1398"/>
        <n v="2504"/>
        <n v="1437"/>
        <n v="338"/>
        <n v="2744"/>
        <n v="2300"/>
        <n v="1037"/>
        <n v="1753"/>
        <n v="2306"/>
        <n v="2806"/>
        <n v="892"/>
        <n v="2426"/>
        <n v="1206"/>
        <n v="328"/>
        <n v="1330"/>
        <n v="2807"/>
        <n v="2728"/>
        <n v="1247"/>
        <n v="1550"/>
        <n v="1062"/>
        <n v="1272"/>
        <n v="2675"/>
      </sharedItems>
    </cacheField>
    <cacheField name="Reach" numFmtId="0">
      <sharedItems containsSemiMixedTypes="0" containsString="0" containsNumber="1" containsInteger="1" minValue="0" maxValue="97772" count="298">
        <n v="66634"/>
        <n v="24826"/>
        <n v="61333"/>
        <n v="19334"/>
        <n v="56890"/>
        <n v="17841"/>
        <n v="8396"/>
        <n v="37625"/>
        <n v="24615"/>
        <n v="68817"/>
        <n v="56343"/>
        <n v="14800"/>
        <n v="4890"/>
        <n v="12701"/>
        <n v="58052"/>
        <n v="24847"/>
        <n v="34154"/>
        <n v="9609"/>
        <n v="13637"/>
        <n v="19262"/>
        <n v="39466"/>
        <n v="42841"/>
        <n v="39404"/>
        <n v="18859"/>
        <n v="8538"/>
        <n v="14957"/>
        <n v="20998"/>
        <n v="16330"/>
        <n v="77798"/>
        <n v="5239"/>
        <n v="30360"/>
        <n v="2988"/>
        <n v="61660"/>
        <n v="24916"/>
        <n v="15145"/>
        <n v="84691"/>
        <n v="2285"/>
        <n v="19987"/>
        <n v="42667"/>
        <n v="89591"/>
        <n v="7"/>
        <n v="43239"/>
        <n v="11580"/>
        <n v="23275"/>
        <n v="30059"/>
        <n v="410"/>
        <n v="44739"/>
        <n v="28527"/>
        <n v="14049"/>
        <n v="18171"/>
        <n v="3144"/>
        <n v="9730"/>
        <n v="36938"/>
        <n v="21288"/>
        <n v="70701"/>
        <n v="27361"/>
        <n v="36272"/>
        <n v="20792"/>
        <n v="8710"/>
        <n v="49816"/>
        <n v="34475"/>
        <n v="12206"/>
        <n v="11496"/>
        <n v="7377"/>
        <n v="37792"/>
        <n v="18636"/>
        <n v="59627"/>
        <n v="27550"/>
        <n v="23518"/>
        <n v="67621"/>
        <n v="33310"/>
        <n v="28771"/>
        <n v="15954"/>
        <n v="12676"/>
        <n v="2701"/>
        <n v="62688"/>
        <n v="54808"/>
        <n v="52307"/>
        <n v="22331"/>
        <n v="85823"/>
        <n v="10245"/>
        <n v="58146"/>
        <n v="15403"/>
        <n v="28185"/>
        <n v="28102"/>
        <n v="11978"/>
        <n v="69596"/>
        <n v="35340"/>
        <n v="12264"/>
        <n v="43415"/>
        <n v="85743"/>
        <n v="6636"/>
        <n v="19443"/>
        <n v="35505"/>
        <n v="9418"/>
        <n v="63789"/>
        <n v="18395"/>
        <n v="56125"/>
        <n v="63650"/>
        <n v="6259"/>
        <n v="97772"/>
        <n v="49257"/>
        <n v="20516"/>
        <n v="8875"/>
        <n v="16844"/>
        <n v="52791"/>
        <n v="39319"/>
        <n v="39154"/>
        <n v="20785"/>
        <n v="59490"/>
        <n v="32244"/>
        <n v="21890"/>
        <n v="59400"/>
        <n v="66614"/>
        <n v="49351"/>
        <n v="10967"/>
        <n v="475"/>
        <n v="12130"/>
        <n v="9417"/>
        <n v="72237"/>
        <n v="60397"/>
        <n v="41309"/>
        <n v="2940"/>
        <n v="21454"/>
        <n v="48524"/>
        <n v="40125"/>
        <n v="36807"/>
        <n v="21120"/>
        <n v="52613"/>
        <n v="16309"/>
        <n v="21869"/>
        <n v="68488"/>
        <n v="59182"/>
        <n v="14129"/>
        <n v="4037"/>
        <n v="34850"/>
        <n v="5472"/>
        <n v="41050"/>
        <n v="22583"/>
        <n v="49490"/>
        <n v="28044"/>
        <n v="29254"/>
        <n v="15996"/>
        <n v="66615"/>
        <n v="20471"/>
        <n v="74927"/>
        <n v="71322"/>
        <n v="11660"/>
        <n v="34444"/>
        <n v="23719"/>
        <n v="37437"/>
        <n v="1044"/>
        <n v="20509"/>
        <n v="50567"/>
        <n v="31736"/>
        <n v="42228"/>
        <n v="71696"/>
        <n v="4390"/>
        <n v="8272"/>
        <n v="87833"/>
        <n v="3363"/>
        <n v="59842"/>
        <n v="25286"/>
        <n v="30565"/>
        <n v="8"/>
        <n v="24613"/>
        <n v="6145"/>
        <n v="14309"/>
        <n v="91440"/>
        <n v="29689"/>
        <n v="82543"/>
        <n v="3399"/>
        <n v="45632"/>
        <n v="38552"/>
        <n v="12564"/>
        <n v="2753"/>
        <n v="72396"/>
        <n v="43666"/>
        <n v="43705"/>
        <n v="33446"/>
        <n v="13838"/>
        <n v="45631"/>
        <n v="10569"/>
        <n v="71447"/>
        <n v="29576"/>
        <n v="14280"/>
        <n v="69749"/>
        <n v="76881"/>
        <n v="77167"/>
        <n v="34685"/>
        <n v="8882"/>
        <n v="85339"/>
        <n v="18959"/>
        <n v="11500"/>
        <n v="60592"/>
        <n v="52687"/>
        <n v="13588"/>
        <n v="55556"/>
        <n v="38771"/>
        <n v="15865"/>
        <n v="59610"/>
        <n v="40816"/>
        <n v="27184"/>
        <n v="54826"/>
        <n v="49329"/>
        <n v="31404"/>
        <n v="4322"/>
        <n v="50924"/>
        <n v="7389"/>
        <n v="47579"/>
        <n v="35819"/>
        <n v="63550"/>
        <n v="839"/>
        <n v="42921"/>
        <n v="75813"/>
        <n v="995"/>
        <n v="30229"/>
        <n v="15379"/>
        <n v="51605"/>
        <n v="18164"/>
        <n v="67839"/>
        <n v="53082"/>
        <n v="33534"/>
        <n v="42743"/>
        <n v="56378"/>
        <n v="11596"/>
        <n v="22171"/>
        <n v="39025"/>
        <n v="21836"/>
        <n v="47305"/>
        <n v="50565"/>
        <n v="18654"/>
        <n v="55075"/>
        <n v="12085"/>
        <n v="21925"/>
        <n v="47544"/>
        <n v="43338"/>
        <n v="22617"/>
        <n v="6757"/>
        <n v="6221"/>
        <n v="28370"/>
        <n v="35105"/>
        <n v="85788"/>
        <n v="33174"/>
        <n v="24620"/>
        <n v="25529"/>
        <n v="17875"/>
        <n v="36874"/>
        <n v="92810"/>
        <n v="349"/>
        <n v="38627"/>
        <n v="18559"/>
        <n v="18101"/>
        <n v="33802"/>
        <n v="32147"/>
        <n v="3704"/>
        <n v="14639"/>
        <n v="21337"/>
        <n v="75437"/>
        <n v="55436"/>
        <n v="36467"/>
        <n v="20967"/>
        <n v="43225"/>
        <n v="37571"/>
        <n v="21282"/>
        <n v="16483"/>
        <n v="27217"/>
        <n v="65049"/>
        <n v="45183"/>
        <n v="34088"/>
        <n v="4706"/>
        <n v="21481"/>
        <n v="53916"/>
        <n v="4185"/>
        <n v="8081"/>
        <n v="22982"/>
        <n v="8924"/>
        <n v="67754"/>
        <n v="20190"/>
        <n v="25081"/>
        <n v="41991"/>
        <n v="39569"/>
        <n v="43582"/>
        <n v="16865"/>
        <n v="40281"/>
        <n v="38579"/>
        <n v="24675"/>
        <n v="24963"/>
        <n v="51755"/>
        <n v="91296"/>
        <n v="69141"/>
        <n v="3647"/>
        <n v="32015"/>
        <n v="39588"/>
        <n v="5221"/>
        <n v="75008"/>
        <n v="24333"/>
        <n v="71598"/>
      </sharedItems>
    </cacheField>
    <cacheField name="Impressions" numFmtId="0">
      <sharedItems containsSemiMixedTypes="0" containsString="0" containsNumber="1" containsInteger="1" minValue="0" maxValue="249988" count="300">
        <n v="210102"/>
        <n v="198492"/>
        <n v="40281"/>
        <n v="131155"/>
        <n v="218686"/>
        <n v="237576"/>
        <n v="121537"/>
        <n v="191409"/>
        <n v="74707"/>
        <n v="221180"/>
        <n v="164677"/>
        <n v="171691"/>
        <n v="189381"/>
        <n v="238350"/>
        <n v="123310"/>
        <n v="156891"/>
        <n v="119671"/>
        <n v="66155"/>
        <n v="49847"/>
        <n v="132324"/>
        <n v="55563"/>
        <n v="247779"/>
        <n v="242724"/>
        <n v="222958"/>
        <n v="95204"/>
        <n v="75946"/>
        <n v="147803"/>
        <n v="111635"/>
        <n v="148856"/>
        <n v="194571"/>
        <n v="119530"/>
        <n v="177348"/>
        <n v="66017"/>
        <n v="213312"/>
        <n v="59816"/>
        <n v="151453"/>
        <n v="116619"/>
        <n v="160585"/>
        <n v="242332"/>
        <n v="116367"/>
        <n v="122189"/>
        <n v="73397"/>
        <n v="84738"/>
        <n v="66958"/>
        <n v="223305"/>
        <n v="158154"/>
        <n v="161750"/>
        <n v="183660"/>
        <n v="101367"/>
        <n v="126475"/>
        <n v="192999"/>
        <n v="184832"/>
        <n v="104674"/>
        <n v="107649"/>
        <n v="83585"/>
        <n v="101272"/>
        <n v="165818"/>
        <n v="141520"/>
        <n v="85893"/>
        <n v="240422"/>
        <n v="141459"/>
        <n v="218136"/>
        <n v="75046"/>
        <n v="241207"/>
        <n v="138317"/>
        <n v="248611"/>
        <n v="136059"/>
        <n v="221749"/>
        <n v="206205"/>
        <n v="175720"/>
        <n v="165932"/>
        <n v="216037"/>
        <n v="104324"/>
        <n v="66916"/>
        <n v="73142"/>
        <n v="111031"/>
        <n v="220225"/>
        <n v="193087"/>
        <n v="192747"/>
        <n v="99189"/>
        <n v="140102"/>
        <n v="52149"/>
        <n v="147971"/>
        <n v="159891"/>
        <n v="195683"/>
        <n v="159735"/>
        <n v="177513"/>
        <n v="245244"/>
        <n v="128397"/>
        <n v="88368"/>
        <n v="58743"/>
        <n v="43654"/>
        <n v="103646"/>
        <n v="112588"/>
        <n v="200806"/>
        <n v="219785"/>
        <n v="215211"/>
        <n v="154014"/>
        <n v="126365"/>
        <n v="237133"/>
        <n v="194243"/>
        <n v="214668"/>
        <n v="216048"/>
        <n v="52289"/>
        <n v="148177"/>
        <n v="235229"/>
        <n v="225763"/>
        <n v="154793"/>
        <n v="161999"/>
        <n v="202082"/>
        <n v="182633"/>
        <n v="184539"/>
        <n v="243502"/>
        <n v="213724"/>
        <n v="207450"/>
        <n v="133747"/>
        <n v="97716"/>
        <n v="47151"/>
        <n v="221187"/>
        <n v="177084"/>
        <n v="86413"/>
        <n v="249373"/>
        <n v="217953"/>
        <n v="208722"/>
        <n v="249684"/>
        <n v="85379"/>
        <n v="150350"/>
        <n v="76914"/>
        <n v="179978"/>
        <n v="168803"/>
        <n v="96088"/>
        <n v="79310"/>
        <n v="194351"/>
        <n v="127163"/>
        <n v="99182"/>
        <n v="241039"/>
        <n v="104106"/>
        <n v="204246"/>
        <n v="64596"/>
        <n v="229420"/>
        <n v="118714"/>
        <n v="198059"/>
        <n v="230961"/>
        <n v="197795"/>
        <n v="198038"/>
        <n v="113770"/>
        <n v="86819"/>
        <n v="182635"/>
        <n v="198670"/>
        <n v="182628"/>
        <n v="93551"/>
        <n v="121889"/>
        <n v="61636"/>
        <n v="72779"/>
        <n v="59975"/>
        <n v="175832"/>
        <n v="41177"/>
        <n v="235804"/>
        <n v="71348"/>
        <n v="206703"/>
        <n v="46471"/>
        <n v="62612"/>
        <n v="147522"/>
        <n v="117576"/>
        <n v="65537"/>
        <n v="198562"/>
        <n v="231305"/>
        <n v="247815"/>
        <n v="149834"/>
        <n v="103449"/>
        <n v="119973"/>
        <n v="193515"/>
        <n v="136546"/>
        <n v="133680"/>
        <n v="179999"/>
        <n v="143896"/>
        <n v="97056"/>
        <n v="202396"/>
        <n v="75643"/>
        <n v="248786"/>
        <n v="180180"/>
        <n v="140494"/>
        <n v="166969"/>
        <n v="67723"/>
        <n v="129152"/>
        <n v="43726"/>
        <n v="91924"/>
        <n v="124878"/>
        <n v="71585"/>
        <n v="131736"/>
        <n v="155142"/>
        <n v="172439"/>
        <n v="43712"/>
        <n v="143754"/>
        <n v="57772"/>
        <n v="196498"/>
        <n v="139304"/>
        <n v="136652"/>
        <n v="113297"/>
        <n v="166503"/>
        <n v="76321"/>
        <n v="236037"/>
        <n v="44114"/>
        <n v="107203"/>
        <n v="69165"/>
        <n v="154044"/>
        <n v="196995"/>
        <n v="210954"/>
        <n v="237096"/>
        <n v="158516"/>
        <n v="219436"/>
        <n v="198280"/>
        <n v="243532"/>
        <n v="151279"/>
        <n v="244456"/>
        <n v="231648"/>
        <n v="45704"/>
        <n v="188159"/>
        <n v="143409"/>
        <n v="240641"/>
        <n v="76059"/>
        <n v="168267"/>
        <n v="48125"/>
        <n v="150169"/>
        <n v="198056"/>
        <n v="249988"/>
        <n v="213359"/>
        <n v="59508"/>
        <n v="87055"/>
        <n v="119134"/>
        <n v="202962"/>
        <n v="141376"/>
        <n v="126652"/>
        <n v="201731"/>
        <n v="94061"/>
        <n v="208280"/>
        <n v="213895"/>
        <n v="90138"/>
        <n v="150448"/>
        <n v="236910"/>
        <n v="76487"/>
        <n v="64089"/>
        <n v="68625"/>
        <n v="82229"/>
        <n v="226481"/>
        <n v="128009"/>
        <n v="165354"/>
        <n v="186649"/>
        <n v="218486"/>
        <n v="88320"/>
        <n v="150677"/>
        <n v="164398"/>
        <n v="208452"/>
        <n v="53669"/>
        <n v="216313"/>
        <n v="145823"/>
        <n v="194268"/>
        <n v="163008"/>
        <n v="50225"/>
        <n v="161863"/>
        <n v="175542"/>
        <n v="83753"/>
        <n v="41969"/>
        <n v="168335"/>
        <n v="249203"/>
        <n v="57778"/>
        <n v="72556"/>
        <n v="144061"/>
        <n v="62911"/>
        <n v="79062"/>
        <n v="52115"/>
        <n v="119141"/>
        <n v="49110"/>
        <n v="108785"/>
        <n v="46570"/>
        <n v="177710"/>
        <n v="69426"/>
        <n v="96503"/>
        <n v="160030"/>
        <n v="186470"/>
        <n v="101212"/>
        <n v="129393"/>
        <n v="85272"/>
        <n v="166945"/>
        <n v="236733"/>
        <n v="172311"/>
        <n v="206129"/>
        <n v="183273"/>
        <n v="212307"/>
        <n v="159273"/>
        <n v="196683"/>
        <n v="73997"/>
        <n v="104178"/>
        <n v="180272"/>
        <n v="200928"/>
        <n v="199476"/>
        <n v="116260"/>
        <n v="172130"/>
        <n v="216422"/>
        <n v="202932"/>
      </sharedItems>
    </cacheField>
    <cacheField name="Campaign" numFmtId="0">
      <sharedItems count="5">
        <s v="iPhone 16 Launch"/>
        <s v="Apple Watch Ultra 2 Launch"/>
        <s v="Sustainability Awareness Drive"/>
        <s v="MacBook Air M3 Campaign"/>
        <s v="Apple Event September 2025"/>
      </sharedItems>
    </cacheField>
    <cacheField name="Engagement_Rate" numFmtId="165">
      <sharedItems containsSemiMixedTypes="0" containsString="0" containsNumber="1" minValue="0" maxValue="0.490541055630229" count="300">
        <n v="0.065882285746922897"/>
        <n v="0.114070088467041"/>
        <n v="0.19210049402944299"/>
        <n v="0.056368419046166802"/>
        <n v="0.11443347996670999"/>
        <n v="0.053443950567397397"/>
        <n v="0.198803656499667"/>
        <n v="0.11204802282024399"/>
        <n v="0.17280843829895501"/>
        <n v="0.045293426168731402"/>
        <n v="0.0519866162244879"/>
        <n v="0.071873307278774098"/>
        <n v="0.13500298340382599"/>
        <n v="0.056026851269142003"/>
        <n v="0.087989619657773105"/>
        <n v="0.062234290048505003"/>
        <n v="0.13010670922779999"/>
        <n v="0.29326581513113098"/>
        <n v="0.49054105563022898"/>
        <n v="0.059097367068710098"/>
        <n v="0.26499649047027701"/>
        <n v="0.084337252148083602"/>
        <n v="0.039975445361810101"/>
        <n v="0.022165609666394599"/>
        <n v="0.14992017142136899"/>
        <n v="0.242962104653306"/>
        <n v="0.157818176897627"/>
        <n v="0.204738657231155"/>
        <n v="0.16575751061428501"/>
        <n v="0.13314933880177399"/>
        <n v="0.112080649209404"/>
        <n v="0.043073505198818099"/>
        <n v="0.131859975460866"/>
        <n v="0.055303967896789701"/>
        <n v="0.19404507155276199"/>
        <n v="0.14055845707909401"/>
        <n v="0.12041777068916699"/>
        <n v="0.049357038328610998"/>
        <n v="0.086113266097750205"/>
        <n v="0.117490353794461"/>
        <n v="0.161495715653619"/>
        <n v="0.234805237271278"/>
        <n v="0.13390686586891401"/>
        <n v="0.23849278652289499"/>
        <n v="0.078063634938760895"/>
        <n v="0.0456833213197263"/>
        <n v="0.087845440494590393"/>
        <n v="0.090574975498203203"/>
        <n v="0.0857182317716811"/>
        <n v="0.064684720300454607"/>
        <n v="0.129125021373168"/>
        <n v="0.108292936288089"/>
        <n v="0.240613714962646"/>
        <n v="0.15317374058281999"/>
        <n v="0.26870850032900601"/>
        <n v="0.055652105221581503"/>
        <n v="0.058335042034037297"/>
        <n v="0.18511871113623499"/>
        <n v="0.221950566402384"/>
        <n v="0.069049421433978603"/>
        <n v="0.171406555963212"/>
        <n v="0.036761469908680802"/>
        <n v="0.199211150494363"/>
        <n v="0.025467751765081401"/>
        <n v="0.152627659651381"/>
        <n v="0.020023249172401902"/>
        <n v="0.13425793222058099"/>
        <n v="0.043161412227338103"/>
        <n v="0.068868359157149395"/>
        <n v="0.12340086501252"/>
        <n v="0.096202058674637797"/>
        <n v="0.086151909163708101"/>
        <n v="0.10871899083624099"/>
        <n v="0.057370434574690703"/>
        <n v="0.0518170134806267"/>
        <n v="0.19480145184678199"/>
        <n v="0.053436258372119398"/>
        <n v="0.110939628250478"/>
        <n v="0.0694277991356545"/>
        <n v="0.045408260996683103"/>
        <n v="0.087457709383163704"/>
        <n v="0.103645323975532"/>
        <n v="0.062262200025680697"/>
        <n v="0.13050140408153099"/>
        <n v="0.055119760020032403"/>
        <n v="0.032109431245500399"/>
        <n v="0.069994873614890193"/>
        <n v="0.10287713460879799"/>
        <n v="0.087174933993784898"/>
        <n v="0.23651095419156301"/>
        <n v="0.057709003625963901"/>
        <n v="0.367640995097815"/>
        <n v="0.22984003241803799"/>
        <n v="0.161535865278715"/>
        <n v="0.110624184536319"/>
        <n v="0.045417112177810103"/>
        <n v="0.110008317418719"/>
        <n v="0.035977248821535697"/>
        <n v="0.035903929094290403"/>
        <n v="0.056748744375519203"/>
        <n v="0.067889190344053593"/>
        <n v="0.077063185942944507"/>
        <n v="0.076848663260016298"/>
        <n v="0.17093461339861199"/>
        <n v="0.038663220337839199"/>
        <n v="0.042048386891072098"/>
        <n v="0.032077886987681797"/>
        <n v="0.105967324103803"/>
        <n v="0.12537731714393299"/>
        <n v="0.062088657079799298"/>
        <n v="0.113287302951821"/>
        <n v="0.052102807536618299"/>
        <n v="0.106882078997298"/>
        <n v="0.078807246729426697"/>
        <n v="0.090547119787900698"/>
        <n v="0.132511383432899"/>
        <n v="0.14930001228048601"/>
        <n v="0.096286399015927601"/>
        <n v="0.108030761301523"/>
        <n v="0.050524045085947898"/>
        <n v="0.19881267864788901"/>
        <n v="0.095952649244304702"/>
        <n v="0.085321147219813501"/>
        <n v="0.10978718103506099"/>
        <n v="0.070457057720959296"/>
        <n v="0.040443200318579502"/>
        <n v="0.084888593282341204"/>
        <n v="0.33122708479600599"/>
        <n v="0.097573036704486096"/>
        <n v="0.073511726687321893"/>
        <n v="0.20516609774373501"/>
        <n v="0.115370066826378"/>
        <n v="0.085309568769906002"/>
        <n v="0.099871818060284806"/>
        <n v="0.148272872093727"/>
        <n v="0.031559208260903797"/>
        <n v="0.19899909707413599"/>
        <n v="0.028308999931455199"/>
        <n v="0.24524738373893101"/>
        <n v="0.10312963124400699"/>
        <n v="0.14677291642097801"/>
        <n v="0.067626313371268204"/>
        <n v="0.103623555492053"/>
        <n v="0.125756465026922"/>
        <n v="0.074591745018632805"/>
        <n v="0.092062933989628198"/>
        <n v="0.1021780946567"/>
        <n v="0.025909601116982001"/>
        <n v="0.110600493280314"/>
        <n v="0.118963138182535"/>
        <n v="0.075338585370546607"/>
        <n v="0.145714543560124"/>
        <n v="0.33944448049840997"/>
        <n v="0.180629027604117"/>
        <n v="0.17640683618174199"/>
        <n v="0.072176850630147005"/>
        <n v="0.11911989702989501"/>
        <n v="0.079812047293515001"/>
        <n v="0.35412345125301298"/>
        <n v="0.111536842716361"/>
        <n v="0.14479998278496301"/>
        <n v="0.32075321024723702"/>
        <n v="0.064817450956467501"/>
        <n v="0.165212288222086"/>
        <n v="0.249614721455056"/>
        <n v="0.051716844109144802"/>
        <n v="0.049947039623008602"/>
        <n v="0.064471480741682297"/>
        <n v="0.12222859965028"/>
        <n v="0.24183897379385"/>
        <n v="0.082343527293641097"/>
        <n v="0.106591220318838"/>
        <n v="0.085238674146441498"/>
        <n v="0.080670257330939604"/>
        <n v="0.075372640959116402"/>
        <n v="0.0633930060599322"/>
        <n v="0.24662050774810401"/>
        <n v="0.073133856400324104"/>
        <n v="0.096505955607260399"/>
        <n v="0.042237103373984099"/>
        <n v="0.041131091131091098"/>
        <n v="0.12615485358805401"/>
        <n v="0.1164767112458"/>
        <n v="0.138180529509915"/>
        <n v="0.16660214321110001"/>
        <n v="0.48803915290673699"/>
        <n v="0.051390278926069399"/>
        <n v="0.055630295168084098"/>
        <n v="0.088356499266606103"/>
        <n v="0.108117750652821"/>
        <n v="0.10512949426976601"/>
        <n v="0.053995905798572198"/>
        <n v="0.27733803074670599"/>
        <n v="0.11272034169484001"/>
        <n v="0.12668766876687701"/>
        <n v="0.028916324848090098"/>
        <n v="0.071814161833113205"/>
        <n v="0.079852471972601896"/>
        <n v="0.21037626768581699"/>
        <n v="0.11130730377230399"/>
        <n v="0.15675895231980699"/>
        <n v="0.020280718700881599"/>
        <n v="0.214535068232307"/>
        <n v="0.23586093672751701"/>
        <n v="0.338118990819056"/>
        <n v="0.13539638025499201"/>
        <n v="0.108647427599685"/>
        <n v="0.040326327066564298"/>
        <n v="0.034479704423524597"/>
        <n v="0.106708471069167"/>
        <n v="0.073064583751070902"/>
        <n v="0.088536413153116805"/>
        <n v="0.034792142305733999"/>
        <n v="0.071840771025720701"/>
        <n v="0.080922538207284803"/>
        <n v="0.080820900676889101"/>
        <n v="0.33614125678277601"/>
        <n v="0.030867510988047301"/>
        <n v="0.080636501195880297"/>
        <n v="0.0496050132770392"/>
        <n v="0.22216963147030599"/>
        <n v="0.074453101321114698"/>
        <n v="0.0620675324675325"/>
        <n v="0.134102244804187"/>
        <n v="0.016616512501514701"/>
        <n v="0.100996847848697"/>
        <n v="0.099723939463533307"/>
        <n v="0.30411037171472699"/>
        <n v="0.19849520418126501"/>
        <n v="0.068846844729464299"/>
        <n v="0.11355820301337199"/>
        <n v="0.170028859212313"/>
        <n v="0.045984271863057799"/>
        <n v="0.113016839256237"/>
        <n v="0.16780599823518799"/>
        <n v="0.12316112924908799"/>
        <n v="0.062151990462610197"/>
        <n v="0.14587632297144401"/>
        <n v="0.063663192598107002"/>
        <n v="0.108745937275759"/>
        <n v="0.184841868552826"/>
        <n v="0.30376507669022801"/>
        <n v="0.25244444444444403"/>
        <n v="0.0583127607048608"/>
        <n v="0.063290077313328696"/>
        <n v="0.177175042379833"/>
        <n v="0.13333212380710499"/>
        <n v="0.110672974406506"/>
        <n v="0.045549829279679203"/>
        <n v="0.123222373188406"/>
        <n v="0.114111642785561"/>
        <n v="0.042810739790021798"/>
        <n v="0.0381142901003588"/>
        <n v="0.29972609886526702"/>
        <n v="0.039036026498638597"/>
        <n v="0.17674852389540699"/>
        <n v="0.12784400930673101"/>
        <n v="0.087198174322732594"/>
        <n v="0.27422598307615698"/>
        <n v="0.12648968572187599"/>
        <n v="0.043345752013763103"/>
        <n v="0.057203921053574198"/>
        <n v="0.15294622221163201"/>
        <n v="0.125161137018445"/>
        <n v="0.046311641513143903"/>
        <n v="0.40382152376336999"/>
        <n v="0.19362974805667299"/>
        <n v="0.113139572819847"/>
        <n v="0.41655672298961999"/>
        <n v="0.193670790012901"/>
        <n v="0.173827113115226"/>
        <n v="0.077546772311798601"/>
        <n v="0.39401343921808202"/>
        <n v="0.10041825619340899"/>
        <n v="0.454928065278076"/>
        <n v="0.055281075910190797"/>
        <n v="0.052300290957278298"/>
        <n v="0.22627275835984401"/>
        <n v="0.098006623758045405"/>
        <n v="0.081455462004611998"/>
        <n v="0.076641109749832001"/>
        <n v="0.070768897853825202"/>
        <n v="0.096549863964724703"/>
        <n v="0.054964209769684601"/>
        <n v="0.076089940988370894"/>
        <n v="0.066786217943137702"/>
        <n v="0.034468706489625398"/>
        <n v="0.076863476889667298"/>
        <n v="0.123067067972323"/>
        <n v="0.14860020216860401"/>
        <n v="0.118373219851233"/>
        <n v="0.33664878305877299"/>
        <n v="0.22742805582752601"/>
        <n v="0.14682812638679299"/>
        <n v="0.098433269628921793"/>
        <n v="0.0553700695823056"/>
        <n v="0.077421297092723204"/>
        <n v="0.13062801371056801"/>
        <n v="0.099518533235992704"/>
        <n v="0.13041807107799699"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:id="rId1" refreshedBy="chauh" refreshedDate="46143.0611458333" createdVersion="5" refreshedVersion="5" minRefreshableVersion="3" recordCount="301">
  <cacheSource type="worksheet">
    <worksheetSource sheet="TASK 1 " ref="$A:$N"/>
  </cacheSource>
  <cacheFields count="14">
    <cacheField name="Post ID" numFmtId="0">
      <sharedItems containsBlank="1" count="301">
        <s v="A99"/>
        <s v="A98"/>
        <s v="A97"/>
        <s v="A96"/>
        <s v="A95"/>
        <s v="A94"/>
        <s v="A93"/>
        <s v="A92"/>
        <s v="A91"/>
        <s v="A90"/>
        <s v="A9"/>
        <s v="A89"/>
        <s v="A88"/>
        <s v="A87"/>
        <s v="A86"/>
        <s v="A85"/>
        <s v="A84"/>
        <s v="A83"/>
        <s v="A82"/>
        <s v="A81"/>
        <s v="A80"/>
        <s v="A8"/>
        <s v="A79"/>
        <s v="A78"/>
        <s v="A77"/>
        <s v="A76"/>
        <s v="A75"/>
        <s v="A74"/>
        <s v="A73"/>
        <s v="A72"/>
        <s v="A71"/>
        <s v="A70"/>
        <s v="A7"/>
        <s v="A69"/>
        <s v="A68"/>
        <s v="A67"/>
        <s v="A66"/>
        <s v="A65"/>
        <s v="A64"/>
        <s v="A63"/>
        <s v="A62"/>
        <s v="A61"/>
        <s v="A60"/>
        <s v="A6"/>
        <s v="A59"/>
        <s v="A58"/>
        <s v="A57"/>
        <s v="A56"/>
        <s v="A55"/>
        <s v="A54"/>
        <s v="A53"/>
        <s v="A52"/>
        <s v="A51"/>
        <s v="A50"/>
        <s v="A5"/>
        <s v="A49"/>
        <s v="A48"/>
        <s v="A47"/>
        <s v="A46"/>
        <s v="A45"/>
        <s v="A44"/>
        <s v="A43"/>
        <s v="A42"/>
        <s v="A41"/>
        <s v="A40"/>
        <s v="A4"/>
        <s v="A39"/>
        <s v="A38"/>
        <s v="A37"/>
        <s v="A36"/>
        <s v="A35"/>
        <s v="A34"/>
        <s v="A33"/>
        <s v="A32"/>
        <s v="A31"/>
        <s v="A300"/>
        <s v="A30"/>
        <s v="A3"/>
        <s v="A299"/>
        <s v="A298"/>
        <s v="A297"/>
        <s v="A296"/>
        <s v="A295"/>
        <s v="A294"/>
        <s v="A293"/>
        <s v="A292"/>
        <s v="A291"/>
        <s v="A290"/>
        <s v="A29"/>
        <s v="A289"/>
        <s v="A288"/>
        <s v="A287"/>
        <s v="A286"/>
        <s v="A285"/>
        <s v="A284"/>
        <s v="A283"/>
        <s v="A282"/>
        <s v="A281"/>
        <s v="A280"/>
        <s v="A28"/>
        <s v="A279"/>
        <s v="A278"/>
        <s v="A277"/>
        <s v="A276"/>
        <s v="A275"/>
        <s v="A274"/>
        <s v="A273"/>
        <s v="A272"/>
        <s v="A271"/>
        <s v="A270"/>
        <s v="A27"/>
        <s v="A269"/>
        <s v="A268"/>
        <s v="A267"/>
        <s v="A266"/>
        <s v="A265"/>
        <s v="A264"/>
        <s v="A263"/>
        <s v="A262"/>
        <s v="A261"/>
        <s v="A260"/>
        <s v="A26"/>
        <s v="A259"/>
        <s v="A258"/>
        <s v="A257"/>
        <s v="A256"/>
        <s v="A255"/>
        <s v="A254"/>
        <s v="A253"/>
        <s v="A252"/>
        <s v="A251"/>
        <s v="A250"/>
        <s v="A25"/>
        <s v="A249"/>
        <s v="A248"/>
        <s v="A247"/>
        <s v="A246"/>
        <s v="A245"/>
        <s v="A244"/>
        <s v="A243"/>
        <s v="A242"/>
        <s v="A241"/>
        <s v="A240"/>
        <s v="A24"/>
        <s v="A239"/>
        <s v="A238"/>
        <s v="A237"/>
        <s v="A236"/>
        <s v="A235"/>
        <s v="A234"/>
        <s v="A233"/>
        <s v="A232"/>
        <s v="A231"/>
        <s v="A230"/>
        <s v="A23"/>
        <s v="A229"/>
        <s v="A228"/>
        <s v="A227"/>
        <s v="A226"/>
        <s v="A225"/>
        <s v="A224"/>
        <s v="A223"/>
        <s v="A222"/>
        <s v="A221"/>
        <s v="A220"/>
        <s v="A22"/>
        <s v="A219"/>
        <s v="A218"/>
        <s v="A217"/>
        <s v="A216"/>
        <s v="A215"/>
        <s v="A214"/>
        <s v="A213"/>
        <s v="A212"/>
        <s v="A211"/>
        <s v="A210"/>
        <s v="A21"/>
        <s v="A209"/>
        <s v="A208"/>
        <s v="A207"/>
        <s v="A206"/>
        <s v="A205"/>
        <s v="A204"/>
        <s v="A203"/>
        <s v="A202"/>
        <s v="A201"/>
        <s v="A200"/>
        <s v="A20"/>
        <s v="A2"/>
        <s v="A199"/>
        <s v="A198"/>
        <s v="A197"/>
        <s v="A196"/>
        <s v="A195"/>
        <s v="A194"/>
        <s v="A193"/>
        <s v="A192"/>
        <s v="A191"/>
        <s v="A190"/>
        <s v="A19"/>
        <s v="A189"/>
        <s v="A188"/>
        <s v="A187"/>
        <s v="A186"/>
        <s v="A185"/>
        <s v="A184"/>
        <s v="A183"/>
        <s v="A182"/>
        <s v="A181"/>
        <s v="A180"/>
        <s v="A18"/>
        <s v="A179"/>
        <s v="A178"/>
        <s v="A177"/>
        <s v="A176"/>
        <s v="A175"/>
        <s v="A174"/>
        <s v="A173"/>
        <s v="A172"/>
        <s v="A171"/>
        <s v="A170"/>
        <s v="A17"/>
        <s v="A169"/>
        <s v="A168"/>
        <s v="A167"/>
        <s v="A166"/>
        <s v="A165"/>
        <s v="A164"/>
        <s v="A163"/>
        <s v="A162"/>
        <s v="A161"/>
        <s v="A160"/>
        <s v="A16"/>
        <s v="A159"/>
        <s v="A158"/>
        <s v="A157"/>
        <s v="A156"/>
        <s v="A155"/>
        <s v="A154"/>
        <s v="A153"/>
        <s v="A152"/>
        <s v="A151"/>
        <s v="A150"/>
        <s v="A15"/>
        <s v="A149"/>
        <s v="A148"/>
        <s v="A147"/>
        <s v="A146"/>
        <s v="A145"/>
        <s v="A144"/>
        <s v="A143"/>
        <s v="A142"/>
        <s v="A141"/>
        <s v="A140"/>
        <s v="A14"/>
        <s v="A139"/>
        <s v="A138"/>
        <s v="A137"/>
        <s v="A136"/>
        <s v="A135"/>
        <s v="A134"/>
        <s v="A133"/>
        <s v="A132"/>
        <s v="A131"/>
        <s v="A130"/>
        <s v="A13"/>
        <s v="A129"/>
        <s v="A128"/>
        <s v="A127"/>
        <s v="A126"/>
        <s v="A125"/>
        <s v="A124"/>
        <s v="A123"/>
        <s v="A122"/>
        <s v="A121"/>
        <s v="A120"/>
        <s v="A12"/>
        <s v="A119"/>
        <s v="A118"/>
        <s v="A117"/>
        <s v="A116"/>
        <s v="A115"/>
        <s v="A114"/>
        <s v="A113"/>
        <s v="A112"/>
        <s v="A111"/>
        <s v="A110"/>
        <s v="A11"/>
        <s v="A109"/>
        <s v="A108"/>
        <s v="A107"/>
        <s v="A106"/>
        <s v="A105"/>
        <s v="A104"/>
        <s v="A103"/>
        <s v="A102"/>
        <s v="A101"/>
        <s v="A100"/>
        <s v="A10"/>
        <s v="A1"/>
        <m/>
      </sharedItems>
    </cacheField>
    <cacheField name="linkedin" numFmtId="0">
      <sharedItems containsBlank="1" count="5">
        <s v="Twitter"/>
        <s v="Linkedin"/>
        <s v="Youtube"/>
        <s v="Instagram"/>
        <m/>
      </sharedItems>
    </cacheField>
    <cacheField name="Date" numFmtId="0">
      <sharedItems containsNonDate="0" containsDate="1" containsString="0" containsBlank="1" minDate="2024-01-06T00:00:00" maxDate="2025-12-10T00:00:00" count="211">
        <d v="2024-02-07T00:00:00"/>
        <d v="2024-10-06T00:00:00"/>
        <d v="2024-08-13T00:00:00"/>
        <d v="2024-10-09T00:00:00"/>
        <d v="2024-08-11T00:00:00"/>
        <d v="2024-07-11T00:00:00"/>
        <d v="2024-11-12T00:00:00"/>
        <d v="2024-10-21T00:00:00"/>
        <d v="2025-09-24T00:00:00"/>
        <d v="2024-03-06T00:00:00"/>
        <d v="2024-08-30T00:00:00"/>
        <d v="2025-09-23T00:00:00"/>
        <d v="2024-07-07T00:00:00"/>
        <d v="2024-06-06T00:00:00"/>
        <d v="2025-01-27T00:00:00"/>
        <d v="2025-04-19T00:00:00"/>
        <d v="2024-09-12T00:00:00"/>
        <d v="2024-10-15T00:00:00"/>
        <d v="2024-07-24T00:00:00"/>
        <d v="2024-10-19T00:00:00"/>
        <d v="2024-06-13T00:00:00"/>
        <d v="2024-07-13T00:00:00"/>
        <d v="2025-09-22T00:00:00"/>
        <d v="2024-06-17T00:00:00"/>
        <d v="2025-04-03T00:00:00"/>
        <d v="2024-01-08T00:00:00"/>
        <d v="2024-10-28T00:00:00"/>
        <d v="2025-09-21T00:00:00"/>
        <d v="2025-03-03T00:00:00"/>
        <d v="2024-02-09T00:00:00"/>
        <d v="2025-02-04T00:00:00"/>
        <d v="2024-06-24T00:00:00"/>
        <d v="2025-08-03T00:00:00"/>
        <d v="2024-08-12T00:00:00"/>
        <d v="2025-03-29T00:00:00"/>
        <d v="2024-07-26T00:00:00"/>
        <d v="2025-03-28T00:00:00"/>
        <d v="2024-08-17T00:00:00"/>
        <d v="2024-07-31T00:00:00"/>
        <d v="2025-09-20T00:00:00"/>
        <d v="2024-05-09T00:00:00"/>
        <d v="2025-01-28T00:00:00"/>
        <d v="2025-05-09T00:00:00"/>
        <d v="2024-06-22T00:00:00"/>
        <d v="2025-04-15T00:00:00"/>
        <d v="2024-12-18T00:00:00"/>
        <d v="2025-03-13T00:00:00"/>
        <d v="2025-02-24T00:00:00"/>
        <d v="2025-09-19T00:00:00"/>
        <d v="2024-03-07T00:00:00"/>
        <d v="2025-04-09T00:00:00"/>
        <d v="2025-09-18T00:00:00"/>
        <d v="2025-11-03T00:00:00"/>
        <d v="2025-02-05T00:00:00"/>
        <d v="2025-09-17T00:00:00"/>
        <d v="2025-02-03T00:00:00"/>
        <d v="2025-09-16T00:00:00"/>
        <d v="2025-05-03T00:00:00"/>
        <d v="2025-09-15T00:00:00"/>
        <d v="2025-09-14T00:00:00"/>
        <d v="2024-12-08T00:00:00"/>
        <d v="2025-09-13T00:00:00"/>
        <d v="2025-02-17T00:00:00"/>
        <d v="2025-06-01T00:00:00"/>
        <d v="2024-11-30T00:00:00"/>
        <d v="2025-12-09T00:00:00"/>
        <d v="2025-11-09T00:00:00"/>
        <d v="2024-12-16T00:00:00"/>
        <d v="2025-09-26T00:00:00"/>
        <d v="2025-02-25T00:00:00"/>
        <d v="2025-12-05T00:00:00"/>
        <d v="2025-09-25T00:00:00"/>
        <d v="2024-12-24T00:00:00"/>
        <d v="2025-11-02T00:00:00"/>
        <d v="2025-06-05T00:00:00"/>
        <d v="2024-06-19T00:00:00"/>
        <d v="2025-05-14T00:00:00"/>
        <d v="2024-11-17T00:00:00"/>
        <d v="2024-06-11T00:00:00"/>
        <d v="2025-10-09T00:00:00"/>
        <d v="2024-11-28T00:00:00"/>
        <d v="2025-04-17T00:00:00"/>
        <d v="2024-08-15T00:00:00"/>
        <d v="2024-07-18T00:00:00"/>
        <d v="2024-09-17T00:00:00"/>
        <d v="2025-09-05T00:00:00"/>
        <d v="2024-03-10T00:00:00"/>
        <d v="2025-03-22T00:00:00"/>
        <d v="2024-11-26T00:00:00"/>
        <d v="2025-06-04T00:00:00"/>
        <d v="2024-07-06T00:00:00"/>
        <d v="2024-05-08T00:00:00"/>
        <d v="2025-01-01T00:00:00"/>
        <d v="2024-12-10T00:00:00"/>
        <d v="2025-03-27T00:00:00"/>
        <d v="2024-10-17T00:00:00"/>
        <d v="2025-01-15T00:00:00"/>
        <d v="2024-05-11T00:00:00"/>
        <d v="2025-04-13T00:00:00"/>
        <d v="2024-04-10T00:00:00"/>
        <d v="2024-11-25T00:00:00"/>
        <d v="2025-02-20T00:00:00"/>
        <d v="2025-01-30T00:00:00"/>
        <d v="2024-08-20T00:00:00"/>
        <d v="2025-01-18T00:00:00"/>
        <d v="2024-10-27T00:00:00"/>
        <d v="2025-12-02T00:00:00"/>
        <d v="2025-05-04T00:00:00"/>
        <d v="2025-10-02T00:00:00"/>
        <d v="2025-03-04T00:00:00"/>
        <d v="2025-01-14T00:00:00"/>
        <d v="2025-04-28T00:00:00"/>
        <d v="2025-09-09T00:00:00"/>
        <d v="2024-08-27T00:00:00"/>
        <d v="2024-11-10T00:00:00"/>
        <d v="2025-12-01T00:00:00"/>
        <d v="2025-06-03T00:00:00"/>
        <d v="2025-01-23T00:00:00"/>
        <d v="2024-07-16T00:00:00"/>
        <d v="2024-10-22T00:00:00"/>
        <d v="2024-08-19T00:00:00"/>
        <d v="2024-12-22T00:00:00"/>
        <d v="2024-01-06T00:00:00"/>
        <d v="2025-04-29T00:00:00"/>
        <d v="2024-07-15T00:00:00"/>
        <d v="2024-01-07T00:00:00"/>
        <d v="2024-12-06T00:00:00"/>
        <d v="2025-08-09T00:00:00"/>
        <d v="2024-06-20T00:00:00"/>
        <d v="2025-07-09T00:00:00"/>
        <d v="2024-12-11T00:00:00"/>
        <d v="2024-08-10T00:00:00"/>
        <d v="2025-03-23T00:00:00"/>
        <d v="2024-02-06T00:00:00"/>
        <d v="2025-02-27T00:00:00"/>
        <d v="2024-11-06T00:00:00"/>
        <d v="2024-07-29T00:00:00"/>
        <d v="2024-12-23T00:00:00"/>
        <d v="2025-01-05T00:00:00"/>
        <d v="2025-02-19T00:00:00"/>
        <d v="2025-03-19T00:00:00"/>
        <d v="2024-12-29T00:00:00"/>
        <d v="2024-11-21T00:00:00"/>
        <d v="2025-07-04T00:00:00"/>
        <d v="2024-09-09T00:00:00"/>
        <d v="2025-03-09T00:00:00"/>
        <d v="2024-02-10T00:00:00"/>
        <d v="2024-11-09T00:00:00"/>
        <d v="2025-10-15T00:00:00"/>
        <d v="2025-10-14T00:00:00"/>
        <d v="2024-06-23T00:00:00"/>
        <d v="2025-03-24T00:00:00"/>
        <d v="2024-08-24T00:00:00"/>
        <d v="2025-11-01T00:00:00"/>
        <d v="2025-10-13T00:00:00"/>
        <d v="2024-12-17T00:00:00"/>
        <d v="2025-12-10T00:00:00"/>
        <d v="2025-11-10T00:00:00"/>
        <d v="2025-10-10T00:00:00"/>
        <d v="2024-10-07T00:00:00"/>
        <d v="2025-09-10T00:00:00"/>
        <d v="2025-08-10T00:00:00"/>
        <d v="2024-05-12T00:00:00"/>
        <d v="2024-08-14T00:00:00"/>
        <d v="2024-12-31T00:00:00"/>
        <d v="2025-05-05T00:00:00"/>
        <d v="2024-03-12T00:00:00"/>
        <d v="2025-02-16T00:00:00"/>
        <d v="2025-07-10T00:00:00"/>
        <d v="2025-08-04T00:00:00"/>
        <d v="2025-01-04T00:00:00"/>
        <d v="2025-06-10T00:00:00"/>
        <d v="2024-08-26T00:00:00"/>
        <d v="2025-05-10T00:00:00"/>
        <d v="2024-11-08T00:00:00"/>
        <d v="2024-07-23T00:00:00"/>
        <d v="2024-12-21T00:00:00"/>
        <d v="2024-09-10T00:00:00"/>
        <d v="2025-04-10T00:00:00"/>
        <d v="2024-08-22T00:00:00"/>
        <d v="2024-06-16T00:00:00"/>
        <d v="2024-05-06T00:00:00"/>
        <d v="2025-03-25T00:00:00"/>
        <d v="2025-03-10T00:00:00"/>
        <d v="2025-06-09T00:00:00"/>
        <d v="2024-10-29T00:00:00"/>
        <d v="2025-02-10T00:00:00"/>
        <d v="2025-01-10T00:00:00"/>
        <d v="2025-06-02T00:00:00"/>
        <d v="2024-09-29T00:00:00"/>
        <d v="2024-11-18T00:00:00"/>
        <d v="2024-07-21T00:00:00"/>
        <d v="2025-10-01T00:00:00"/>
        <d v="2024-08-09T00:00:00"/>
        <d v="2024-06-14T00:00:00"/>
        <d v="2025-07-02T00:00:00"/>
        <d v="2024-04-11T00:00:00"/>
        <d v="2025-03-18T00:00:00"/>
        <d v="2025-09-30T00:00:00"/>
        <d v="2024-11-14T00:00:00"/>
        <d v="2025-09-29T00:00:00"/>
        <d v="2024-05-10T00:00:00"/>
        <d v="2024-11-23T00:00:00"/>
        <d v="2025-02-02T00:00:00"/>
        <d v="2024-08-08T00:00:00"/>
        <d v="2025-09-28T00:00:00"/>
        <d v="2024-06-21T00:00:00"/>
        <d v="2025-04-02T00:00:00"/>
        <d v="2025-09-27T00:00:00"/>
        <d v="2024-10-18T00:00:00"/>
        <m/>
      </sharedItems>
    </cacheField>
    <cacheField name="Content Type" numFmtId="0">
      <sharedItems containsBlank="1" count="5">
        <s v="Carousel"/>
        <s v="Video"/>
        <s v="Tweet"/>
        <s v="Image"/>
        <m/>
      </sharedItems>
    </cacheField>
    <cacheField name="Hashtags 1" numFmtId="0">
      <sharedItems containsBlank="1" count="12">
        <s v="#AppleMusic"/>
        <s v="#Sustainability"/>
        <s v="#AppleWatch"/>
        <s v="#AppleEvent"/>
        <s v="#iPhone16Launch"/>
        <s v="#MacBookAirM3"/>
        <s v="#ShotOniPhone"/>
        <s v="#AppleWatchUltra2"/>
        <s v="#AppleDesign"/>
        <s v="#MacBookProM3"/>
        <s v="#iPhonePhotography"/>
        <m/>
      </sharedItems>
    </cacheField>
    <cacheField name="Hashtags 2" numFmtId="0">
      <sharedItems containsBlank="1" count="12">
        <s v="#AppleLifestyle"/>
        <s v="#AppleEarth"/>
        <s v="#Health"/>
        <s v="#iPadPro"/>
        <s v="#AppleEvent"/>
        <s v="#AppleInnovation"/>
        <s v="#iPhone16"/>
        <s v="NA"/>
        <s v="#HealthTech"/>
        <s v="#Innovation"/>
        <s v="#ShotOniPhone"/>
        <m/>
      </sharedItems>
    </cacheField>
    <cacheField name="Likes" numFmtId="0">
      <sharedItems containsString="0" containsBlank="1" containsNumber="1" containsInteger="1" minValue="0" maxValue="24984" count="297">
        <n v="12320"/>
        <n v="21561"/>
        <n v="6854"/>
        <n v="6637"/>
        <n v="23499"/>
        <n v="11550"/>
        <n v="22645"/>
        <n v="19715"/>
        <n v="12209"/>
        <n v="8941"/>
        <n v="6804"/>
        <n v="10017"/>
        <n v="24625"/>
        <n v="11521"/>
        <n v="8949"/>
        <n v="8881"/>
        <n v="15051"/>
        <n v="17781"/>
        <n v="22914"/>
        <n v="6673"/>
        <n v="14173"/>
        <n v="18639"/>
        <n v="8996"/>
        <n v="3252"/>
        <n v="13470"/>
        <n v="17254"/>
        <n v="21758"/>
        <n v="21198"/>
        <n v="23103"/>
        <n v="24928"/>
        <n v="12040"/>
        <n v="6858"/>
        <n v="7713"/>
        <n v="10580"/>
        <n v="10427"/>
        <n v="19461"/>
        <n v="12176"/>
        <n v="6363"/>
        <n v="19154"/>
        <n v="12357"/>
        <n v="18633"/>
        <n v="16489"/>
        <n v="9239"/>
        <n v="14677"/>
        <n v="16430"/>
        <n v="5419"/>
        <n v="12015"/>
        <n v="14775"/>
        <n v="6976"/>
        <n v="6544"/>
        <n v="23949"/>
        <n v="19100"/>
        <n v="23164"/>
        <n v="14338"/>
        <n v="21708"/>
        <n v="4048"/>
        <n v="7997"/>
        <n v="24984"/>
        <n v="17444"/>
        <n v="15456"/>
        <n v="22562"/>
        <n v="6809"/>
        <n v="12916"/>
        <n v="5636"/>
        <n v="19844"/>
        <n v="3581"/>
        <n v="17106"/>
        <n v="7989"/>
        <n v="11860"/>
        <n v="20384"/>
        <n v="14763"/>
        <n v="17158"/>
        <n v="10175"/>
        <n v="2404"/>
        <n v="2384"/>
        <n v="21216"/>
        <n v="10702"/>
        <n v="19308"/>
        <n v="12568"/>
        <n v="3342"/>
        <n v="10512"/>
        <n v="3619"/>
        <n v="7287"/>
        <n v="20444"/>
        <n v="9041"/>
        <n v="4219"/>
        <n v="11865"/>
        <n v="24422"/>
        <n v="9266"/>
        <n v="18644"/>
        <n v="2009"/>
        <n v="14977"/>
        <n v="22128"/>
        <n v="16594"/>
        <n v="20410"/>
        <n v="8988"/>
        <n v="22618"/>
        <n v="3917"/>
        <n v="3828"/>
        <n v="12344"/>
        <n v="11765"/>
        <n v="14607"/>
        <n v="14941"/>
        <n v="8233"/>
        <n v="8283"/>
        <n v="6208"/>
        <n v="14819"/>
        <n v="18608"/>
        <n v="11333"/>
        <n v="20017"/>
        <n v="8469"/>
        <n v="24700"/>
        <n v="15746"/>
        <n v="17385"/>
        <n v="15703"/>
        <n v="12954"/>
        <n v="2846"/>
        <n v="22673"/>
        <n v="7560"/>
        <n v="15234"/>
        <n v="22384"/>
        <n v="16309"/>
        <n v="20935"/>
        <n v="15917"/>
        <n v="2117"/>
        <n v="10837"/>
        <n v="24350"/>
        <n v="16043"/>
        <n v="10659"/>
        <n v="18389"/>
        <n v="7342"/>
        <n v="15772"/>
        <n v="11111"/>
        <n v="12787"/>
        <n v="6324"/>
        <n v="19447"/>
        <n v="4590"/>
        <n v="15046"/>
        <n v="22119"/>
        <n v="15918"/>
        <n v="12589"/>
        <n v="21901"/>
        <n v="23168"/>
        <n v="13613"/>
        <n v="8767"/>
        <n v="7622"/>
        <n v="3605"/>
        <n v="20117"/>
        <n v="5812"/>
        <n v="16277"/>
        <n v="19260"/>
        <n v="12554"/>
        <n v="8938"/>
        <n v="12167"/>
        <n v="3761"/>
        <n v="17679"/>
        <n v="23785"/>
        <n v="21123"/>
        <n v="4472"/>
        <n v="17913"/>
        <n v="8738"/>
        <n v="17728"/>
        <n v="14199"/>
        <n v="8970"/>
        <n v="9943"/>
        <n v="14910"/>
        <n v="16369"/>
        <n v="22590"/>
        <n v="8371"/>
        <n v="18616"/>
        <n v="10258"/>
        <n v="9561"/>
        <n v="11795"/>
        <n v="8168"/>
        <n v="22309"/>
        <n v="13475"/>
        <n v="5596"/>
        <n v="8288"/>
        <n v="6632"/>
        <n v="17147"/>
        <n v="18509"/>
        <n v="8229"/>
        <n v="19680"/>
        <n v="20360"/>
        <n v="3062"/>
        <n v="6158"/>
        <n v="4779"/>
        <n v="12267"/>
        <n v="14772"/>
        <n v="7750"/>
        <n v="10152"/>
        <n v="15503"/>
        <n v="5086"/>
        <n v="3906"/>
        <n v="8882"/>
        <n v="9673"/>
        <n v="21729"/>
        <n v="16512"/>
        <n v="10172"/>
        <n v="3531"/>
        <n v="7870"/>
        <n v="24890"/>
        <n v="21181"/>
        <n v="19302"/>
        <n v="20030"/>
        <n v="7122"/>
        <n v="7126"/>
        <n v="15623"/>
        <n v="15550"/>
        <n v="17034"/>
        <n v="6621"/>
        <n v="8809"/>
        <n v="18748"/>
        <n v="17745"/>
        <n v="13479"/>
        <n v="4125"/>
        <n v="10150"/>
        <n v="10717"/>
        <n v="15013"/>
        <n v="10415"/>
        <n v="2055"/>
        <n v="19022"/>
        <n v="2302"/>
        <n v="24195"/>
        <n v="19660"/>
        <n v="16178"/>
        <n v="15568"/>
        <n v="6432"/>
        <n v="22028"/>
        <n v="22527"/>
        <n v="4193"/>
        <n v="21262"/>
        <n v="14394"/>
        <n v="24877"/>
        <n v="12478"/>
        <n v="12453"/>
        <n v="7240"/>
        <n v="24574"/>
        <n v="12488"/>
        <n v="18282"/>
        <n v="16124"/>
        <n v="3015"/>
        <n v="12160"/>
        <n v="20977"/>
        <n v="20777"/>
        <n v="18907"/>
        <n v="8376"/>
        <n v="8981"/>
        <n v="15716"/>
        <n v="5900"/>
        <n v="6777"/>
        <n v="14891"/>
        <n v="7124"/>
        <n v="23969"/>
        <n v="23508"/>
        <n v="13314"/>
        <n v="12161"/>
        <n v="19055"/>
        <n v="6188"/>
        <n v="2666"/>
        <n v="5266"/>
        <n v="20271"/>
        <n v="10472"/>
        <n v="21255"/>
        <n v="11911"/>
        <n v="14647"/>
        <n v="24415"/>
        <n v="13637"/>
        <n v="8090"/>
        <n v="8238"/>
        <n v="17183"/>
        <n v="9350"/>
        <n v="19144"/>
        <n v="8254"/>
        <n v="20290"/>
        <n v="14234"/>
        <n v="14015"/>
        <n v="5818"/>
        <n v="8269"/>
        <n v="6300"/>
        <n v="7569"/>
        <n v="16388"/>
        <n v="9941"/>
        <n v="6164"/>
        <n v="12136"/>
        <n v="24355"/>
        <n v="21963"/>
        <n v="23833"/>
        <n v="21856"/>
        <n v="24711"/>
        <n v="18521"/>
        <n v="9043"/>
        <n v="6892"/>
        <n v="20564"/>
        <n v="20222"/>
        <n v="24516"/>
        <m/>
      </sharedItems>
    </cacheField>
    <cacheField name="Shares" numFmtId="0">
      <sharedItems containsString="0" containsBlank="1" containsNumber="1" containsInteger="1" minValue="0" maxValue="1487" count="272">
        <n v="1157"/>
        <n v="340"/>
        <n v="417"/>
        <n v="595"/>
        <n v="562"/>
        <n v="501"/>
        <n v="545"/>
        <n v="1014"/>
        <n v="222"/>
        <n v="911"/>
        <n v="787"/>
        <n v="1357"/>
        <n v="749"/>
        <n v="1071"/>
        <n v="1477"/>
        <n v="210"/>
        <n v="268"/>
        <n v="993"/>
        <n v="954"/>
        <n v="826"/>
        <n v="294"/>
        <n v="1360"/>
        <n v="329"/>
        <n v="1043"/>
        <n v="523"/>
        <n v="246"/>
        <n v="1380"/>
        <n v="1484"/>
        <n v="214"/>
        <n v="1147"/>
        <n v="415"/>
        <n v="575"/>
        <n v="427"/>
        <n v="1382"/>
        <n v="1005"/>
        <n v="1341"/>
        <n v="1064"/>
        <n v="716"/>
        <n v="797"/>
        <n v="395"/>
        <n v="533"/>
        <n v="488"/>
        <n v="1150"/>
        <n v="1196"/>
        <n v="1220"/>
        <n v="1320"/>
        <n v="356"/>
        <n v="619"/>
        <n v="1122"/>
        <n v="1454"/>
        <n v="435"/>
        <n v="677"/>
        <n v="1238"/>
        <n v="753"/>
        <n v="1402"/>
        <n v="590"/>
        <n v="778"/>
        <n v="397"/>
        <n v="1262"/>
        <n v="303"/>
        <n v="1020"/>
        <n v="517"/>
        <n v="702"/>
        <n v="1206"/>
        <n v="1448"/>
        <n v="344"/>
        <n v="864"/>
        <n v="1192"/>
        <n v="342"/>
        <n v="774"/>
        <n v="1246"/>
        <n v="226"/>
        <n v="621"/>
        <n v="1318"/>
        <n v="541"/>
        <n v="1197"/>
        <n v="1376"/>
        <n v="1240"/>
        <n v="233"/>
        <n v="1133"/>
        <n v="240"/>
        <n v="241"/>
        <n v="327"/>
        <n v="999"/>
        <n v="1369"/>
        <n v="1037"/>
        <n v="274"/>
        <n v="1004"/>
        <n v="809"/>
        <n v="1332"/>
        <n v="228"/>
        <n v="641"/>
        <n v="865"/>
        <n v="203"/>
        <n v="815"/>
        <n v="693"/>
        <n v="1458"/>
        <n v="1424"/>
        <n v="436"/>
        <n v="751"/>
        <n v="720"/>
        <n v="725"/>
        <n v="1432"/>
        <n v="1338"/>
        <n v="920"/>
        <n v="495"/>
        <n v="935"/>
        <n v="258"/>
        <n v="831"/>
        <n v="1381"/>
        <n v="913"/>
        <n v="792"/>
        <n v="1053"/>
        <n v="1139"/>
        <n v="1276"/>
        <n v="601"/>
        <n v="1449"/>
        <n v="1104"/>
        <n v="1479"/>
        <n v="460"/>
        <n v="1342"/>
        <n v="670"/>
        <n v="906"/>
        <n v="288"/>
        <n v="1222"/>
        <n v="945"/>
        <n v="908"/>
        <n v="713"/>
        <n v="281"/>
        <n v="899"/>
        <n v="1114"/>
        <n v="346"/>
        <n v="1308"/>
        <n v="1265"/>
        <n v="350"/>
        <n v="974"/>
        <n v="529"/>
        <n v="206"/>
        <n v="1143"/>
        <n v="1022"/>
        <n v="934"/>
        <n v="1109"/>
        <n v="668"/>
        <n v="381"/>
        <n v="800"/>
        <n v="364"/>
        <n v="651"/>
        <n v="690"/>
        <n v="1013"/>
        <n v="1343"/>
        <n v="1301"/>
        <n v="1311"/>
        <n v="295"/>
        <n v="1487"/>
        <n v="331"/>
        <n v="1274"/>
        <n v="1452"/>
        <n v="1462"/>
        <n v="960"/>
        <n v="1277"/>
        <n v="527"/>
        <n v="642"/>
        <n v="958"/>
        <n v="512"/>
        <n v="773"/>
        <n v="1032"/>
        <n v="1231"/>
        <n v="1401"/>
        <n v="254"/>
        <n v="286"/>
        <n v="361"/>
        <n v="977"/>
        <n v="1124"/>
        <n v="277"/>
        <n v="1110"/>
        <n v="1030"/>
        <n v="1146"/>
        <n v="1445"/>
        <n v="313"/>
        <n v="1336"/>
        <n v="1187"/>
        <n v="701"/>
        <n v="393"/>
        <n v="1209"/>
        <n v="1050"/>
        <n v="1398"/>
        <n v="789"/>
        <n v="968"/>
        <n v="217"/>
        <n v="1242"/>
        <n v="1367"/>
        <n v="485"/>
        <n v="628"/>
        <n v="484"/>
        <n v="869"/>
        <n v="204"/>
        <n v="231"/>
        <n v="922"/>
        <n v="1151"/>
        <n v="634"/>
        <n v="414"/>
        <n v="1189"/>
        <n v="1364"/>
        <n v="526"/>
        <n v="760"/>
        <n v="1286"/>
        <n v="1388"/>
        <n v="675"/>
        <n v="347"/>
        <n v="888"/>
        <n v="1307"/>
        <n v="1048"/>
        <n v="1166"/>
        <n v="1272"/>
        <n v="355"/>
        <n v="924"/>
        <n v="861"/>
        <n v="1202"/>
        <n v="262"/>
        <n v="376"/>
        <n v="1384"/>
        <n v="909"/>
        <n v="1403"/>
        <n v="224"/>
        <n v="863"/>
        <n v="997"/>
        <n v="1405"/>
        <n v="962"/>
        <n v="1075"/>
        <n v="1154"/>
        <n v="1138"/>
        <n v="839"/>
        <n v="546"/>
        <n v="617"/>
        <n v="674"/>
        <n v="469"/>
        <n v="1433"/>
        <n v="585"/>
        <n v="736"/>
        <n v="443"/>
        <n v="1136"/>
        <n v="316"/>
        <n v="401"/>
        <n v="1168"/>
        <n v="860"/>
        <n v="1135"/>
        <n v="570"/>
        <n v="766"/>
        <n v="1224"/>
        <n v="1024"/>
        <n v="1182"/>
        <n v="1072"/>
        <n v="978"/>
        <n v="1252"/>
        <n v="250"/>
        <n v="1213"/>
        <n v="803"/>
        <n v="1208"/>
        <n v="1329"/>
        <n v="326"/>
        <n v="1117"/>
        <n v="1087"/>
        <n v="1356"/>
        <n v="1207"/>
        <n v="555"/>
        <n v="1203"/>
        <n v="882"/>
        <n v="1027"/>
        <n v="1184"/>
        <n v="712"/>
        <n v="976"/>
        <m/>
      </sharedItems>
    </cacheField>
    <cacheField name="Comments" numFmtId="0">
      <sharedItems containsString="0" containsBlank="1" containsNumber="1" containsInteger="1" minValue="0" maxValue="999" count="247">
        <n v="365"/>
        <n v="741"/>
        <n v="467"/>
        <n v="161"/>
        <n v="964"/>
        <n v="646"/>
        <n v="972"/>
        <n v="718"/>
        <n v="479"/>
        <n v="166"/>
        <n v="970"/>
        <n v="966"/>
        <n v="193"/>
        <n v="762"/>
        <n v="424"/>
        <n v="673"/>
        <n v="251"/>
        <n v="627"/>
        <n v="584"/>
        <n v="321"/>
        <n v="257"/>
        <n v="898"/>
        <n v="378"/>
        <n v="647"/>
        <n v="280"/>
        <n v="952"/>
        <n v="188"/>
        <n v="174"/>
        <n v="191"/>
        <n v="765"/>
        <n v="210"/>
        <n v="366"/>
        <n v="417"/>
        <n v="790"/>
        <n v="445"/>
        <n v="862"/>
        <n v="222"/>
        <n v="650"/>
        <n v="599"/>
        <n v="303"/>
        <n v="350"/>
        <n v="631"/>
        <n v="759"/>
        <n v="514"/>
        <n v="656"/>
        <n v="998"/>
        <n v="640"/>
        <n v="393"/>
        <n v="888"/>
        <n v="616"/>
        <n v="297"/>
        <n v="900"/>
        <n v="697"/>
        <n v="317"/>
        <n v="911"/>
        <n v="438"/>
        <n v="461"/>
        <n v="218"/>
        <n v="555"/>
        <n v="907"/>
        <n v="813"/>
        <n v="772"/>
        <n v="204"/>
        <n v="247"/>
        <n v="880"/>
        <n v="459"/>
        <n v="376"/>
        <n v="893"/>
        <n v="956"/>
        <n v="336"/>
        <n v="262"/>
        <n v="825"/>
        <n v="661"/>
        <n v="160"/>
        <n v="187"/>
        <n v="795"/>
        <n v="273"/>
        <n v="375"/>
        <n v="544"/>
        <n v="410"/>
        <n v="686"/>
        <n v="189"/>
        <n v="612"/>
        <n v="670"/>
        <n v="319"/>
        <n v="481"/>
        <n v="928"/>
        <n v="887"/>
        <n v="344"/>
        <n v="798"/>
        <n v="690"/>
        <n v="784"/>
        <n v="472"/>
        <n v="766"/>
        <n v="416"/>
        <n v="506"/>
        <n v="298"/>
        <n v="729"/>
        <n v="478"/>
        <n v="238"/>
        <n v="269"/>
        <n v="930"/>
        <n v="309"/>
        <n v="152"/>
        <n v="294"/>
        <n v="178"/>
        <n v="211"/>
        <n v="999"/>
        <n v="839"/>
        <n v="568"/>
        <n v="639"/>
        <n v="722"/>
        <n v="902"/>
        <n v="169"/>
        <n v="248"/>
        <n v="943"/>
        <n v="838"/>
        <n v="876"/>
        <n v="196"/>
        <n v="203"/>
        <n v="922"/>
        <n v="666"/>
        <n v="923"/>
        <n v="408"/>
        <n v="655"/>
        <n v="520"/>
        <n v="367"/>
        <n v="974"/>
        <n v="256"/>
        <n v="515"/>
        <n v="642"/>
        <n v="392"/>
        <n v="724"/>
        <n v="441"/>
        <n v="809"/>
        <n v="733"/>
        <n v="720"/>
        <n v="921"/>
        <n v="713"/>
        <n v="860"/>
        <n v="302"/>
        <n v="994"/>
        <n v="842"/>
        <n v="493"/>
        <n v="451"/>
        <n v="468"/>
        <n v="589"/>
        <n v="859"/>
        <n v="529"/>
        <n v="954"/>
        <n v="968"/>
        <n v="289"/>
        <n v="548"/>
        <n v="734"/>
        <n v="854"/>
        <n v="581"/>
        <n v="814"/>
        <n v="442"/>
        <n v="295"/>
        <n v="473"/>
        <n v="819"/>
        <n v="525"/>
        <n v="291"/>
        <n v="578"/>
        <n v="726"/>
        <n v="538"/>
        <n v="512"/>
        <n v="436"/>
        <n v="489"/>
        <n v="508"/>
        <n v="415"/>
        <n v="526"/>
        <n v="388"/>
        <n v="897"/>
        <n v="421"/>
        <n v="846"/>
        <n v="971"/>
        <n v="394"/>
        <n v="626"/>
        <n v="963"/>
        <n v="757"/>
        <n v="565"/>
        <n v="423"/>
        <n v="279"/>
        <n v="290"/>
        <n v="908"/>
        <n v="400"/>
        <n v="563"/>
        <n v="695"/>
        <n v="460"/>
        <n v="725"/>
        <n v="575"/>
        <n v="165"/>
        <n v="310"/>
        <n v="871"/>
        <n v="546"/>
        <n v="498"/>
        <n v="665"/>
        <n v="707"/>
        <n v="676"/>
        <n v="513"/>
        <n v="332"/>
        <n v="320"/>
        <n v="962"/>
        <n v="337"/>
        <n v="783"/>
        <n v="769"/>
        <n v="301"/>
        <n v="308"/>
        <n v="675"/>
        <n v="422"/>
        <n v="764"/>
        <n v="592"/>
        <n v="551"/>
        <n v="521"/>
        <n v="851"/>
        <n v="372"/>
        <n v="743"/>
        <n v="976"/>
        <n v="989"/>
        <n v="837"/>
        <n v="286"/>
        <n v="668"/>
        <n v="625"/>
        <n v="778"/>
        <n v="484"/>
        <n v="931"/>
        <n v="540"/>
        <n v="399"/>
        <n v="235"/>
        <n v="550"/>
        <n v="927"/>
        <n v="437"/>
        <n v="687"/>
        <n v="638"/>
        <n v="804"/>
        <n v="615"/>
        <n v="834"/>
        <n v="349"/>
        <n v="523"/>
        <n v="634"/>
        <n v="230"/>
        <n v="810"/>
        <n v="925"/>
        <n v="488"/>
        <n v="604"/>
        <m/>
      </sharedItems>
    </cacheField>
    <cacheField name="Clicks" numFmtId="0">
      <sharedItems containsString="0" containsBlank="1" containsNumber="1" containsInteger="1" minValue="0" maxValue="2936" count="282">
        <n v="584"/>
        <n v="986"/>
        <n v="1003"/>
        <n v="2653"/>
        <n v="2557"/>
        <n v="773"/>
        <n v="321"/>
        <n v="1185"/>
        <n v="2748"/>
        <n v="1217"/>
        <n v="1095"/>
        <n v="2871"/>
        <n v="1340"/>
        <n v="2539"/>
        <n v="1030"/>
        <n v="1565"/>
        <n v="783"/>
        <n v="2187"/>
        <n v="1519"/>
        <n v="577"/>
        <n v="1288"/>
        <n v="2011"/>
        <n v="2384"/>
        <n v="1545"/>
        <n v="2682"/>
        <n v="871"/>
        <n v="1735"/>
        <n v="1293"/>
        <n v="1547"/>
        <n v="1556"/>
        <n v="885"/>
        <n v="2761"/>
        <n v="336"/>
        <n v="2814"/>
        <n v="1649"/>
        <n v="1307"/>
        <n v="974"/>
        <n v="2712"/>
        <n v="747"/>
        <n v="999"/>
        <n v="659"/>
        <n v="2364"/>
        <n v="753"/>
        <n v="1436"/>
        <n v="1990"/>
        <n v="1848"/>
        <n v="2285"/>
        <n v="594"/>
        <n v="1847"/>
        <n v="2312"/>
        <n v="888"/>
        <n v="2703"/>
        <n v="1213"/>
        <n v="2429"/>
        <n v="1874"/>
        <n v="2710"/>
        <n v="725"/>
        <n v="2882"/>
        <n v="1354"/>
        <n v="1125"/>
        <n v="856"/>
        <n v="2480"/>
        <n v="2354"/>
        <n v="1925"/>
        <n v="2769"/>
        <n v="490"/>
        <n v="655"/>
        <n v="1493"/>
        <n v="2016"/>
        <n v="2904"/>
        <n v="662"/>
        <n v="2004"/>
        <n v="1573"/>
        <n v="2918"/>
        <n v="1499"/>
        <n v="2767"/>
        <n v="907"/>
        <n v="2012"/>
        <n v="2499"/>
        <n v="1255"/>
        <n v="2879"/>
        <n v="1687"/>
        <n v="815"/>
        <n v="703"/>
        <n v="2371"/>
        <n v="2700"/>
        <n v="1256"/>
        <n v="2277"/>
        <n v="458"/>
        <n v="2048"/>
        <n v="1655"/>
        <n v="1202"/>
        <n v="652"/>
        <n v="1530"/>
        <n v="2282"/>
        <n v="2440"/>
        <n v="2439"/>
        <n v="744"/>
        <n v="334"/>
        <n v="1054"/>
        <n v="2037"/>
        <n v="1382"/>
        <n v="611"/>
        <n v="848"/>
        <n v="961"/>
        <n v="2289"/>
        <n v="606"/>
        <n v="2683"/>
        <n v="2635"/>
        <n v="994"/>
        <n v="2656"/>
        <n v="2227"/>
        <n v="984"/>
        <n v="1049"/>
        <n v="2469"/>
        <n v="1566"/>
        <n v="1624"/>
        <n v="1860"/>
        <n v="515"/>
        <n v="2434"/>
        <n v="1270"/>
        <n v="313"/>
        <n v="1173"/>
        <n v="1108"/>
        <n v="814"/>
        <n v="1194"/>
        <n v="709"/>
        <n v="1199"/>
        <n v="1585"/>
        <n v="507"/>
        <n v="1407"/>
        <n v="758"/>
        <n v="2730"/>
        <n v="550"/>
        <n v="410"/>
        <n v="1641"/>
        <n v="2183"/>
        <n v="1612"/>
        <n v="2013"/>
        <n v="1587"/>
        <n v="1015"/>
        <n v="852"/>
        <n v="1739"/>
        <n v="2570"/>
        <n v="2356"/>
        <n v="2225"/>
        <n v="934"/>
        <n v="2286"/>
        <n v="2072"/>
        <n v="616"/>
        <n v="2294"/>
        <n v="2195"/>
        <n v="1628"/>
        <n v="727"/>
        <n v="1186"/>
        <n v="405"/>
        <n v="442"/>
        <n v="2009"/>
        <n v="2296"/>
        <n v="389"/>
        <n v="2541"/>
        <n v="2463"/>
        <n v="2936"/>
        <n v="2249"/>
        <n v="2068"/>
        <n v="2572"/>
        <n v="301"/>
        <n v="2343"/>
        <n v="2387"/>
        <n v="541"/>
        <n v="2251"/>
        <n v="1235"/>
        <n v="1013"/>
        <n v="1409"/>
        <n v="1633"/>
        <n v="891"/>
        <n v="1995"/>
        <n v="2935"/>
        <n v="2189"/>
        <n v="1574"/>
        <n v="1876"/>
        <n v="1411"/>
        <n v="513"/>
        <n v="1078"/>
        <n v="1715"/>
        <n v="401"/>
        <n v="1028"/>
        <n v="1891"/>
        <n v="2358"/>
        <n v="1867"/>
        <n v="465"/>
        <n v="906"/>
        <n v="1689"/>
        <n v="637"/>
        <n v="1643"/>
        <n v="2313"/>
        <n v="573"/>
        <n v="371"/>
        <n v="1646"/>
        <n v="1387"/>
        <n v="694"/>
        <n v="883"/>
        <n v="1667"/>
        <n v="2733"/>
        <n v="416"/>
        <n v="2848"/>
        <n v="1313"/>
        <n v="1316"/>
        <n v="2001"/>
        <n v="2462"/>
        <n v="820"/>
        <n v="2063"/>
        <n v="2175"/>
        <n v="1559"/>
        <n v="2802"/>
        <n v="2553"/>
        <n v="826"/>
        <n v="677"/>
        <n v="1859"/>
        <n v="992"/>
        <n v="2696"/>
        <n v="2263"/>
        <n v="1259"/>
        <n v="648"/>
        <n v="2734"/>
        <n v="2546"/>
        <n v="2335"/>
        <n v="1350"/>
        <n v="890"/>
        <n v="819"/>
        <n v="617"/>
        <n v="1980"/>
        <n v="1284"/>
        <n v="2777"/>
        <n v="1383"/>
        <n v="1907"/>
        <n v="2555"/>
        <n v="2839"/>
        <n v="1594"/>
        <n v="2109"/>
        <n v="1091"/>
        <n v="2571"/>
        <n v="1092"/>
        <n v="2155"/>
        <n v="2280"/>
        <n v="1233"/>
        <n v="869"/>
        <n v="1830"/>
        <n v="1710"/>
        <n v="2276"/>
        <n v="1982"/>
        <n v="383"/>
        <n v="1168"/>
        <n v="2650"/>
        <n v="320"/>
        <n v="1862"/>
        <n v="1273"/>
        <n v="2010"/>
        <n v="2123"/>
        <n v="1398"/>
        <n v="2504"/>
        <n v="1437"/>
        <n v="338"/>
        <n v="2744"/>
        <n v="2300"/>
        <n v="1037"/>
        <n v="1753"/>
        <n v="2306"/>
        <n v="2806"/>
        <n v="892"/>
        <n v="2426"/>
        <n v="1206"/>
        <n v="328"/>
        <n v="1330"/>
        <n v="2807"/>
        <n v="2728"/>
        <n v="1247"/>
        <n v="1550"/>
        <n v="1062"/>
        <n v="1272"/>
        <n v="2675"/>
        <m/>
      </sharedItems>
    </cacheField>
    <cacheField name="Reach" numFmtId="0">
      <sharedItems containsString="0" containsBlank="1" containsNumber="1" containsInteger="1" minValue="0" maxValue="97772" count="299">
        <n v="66634"/>
        <n v="24826"/>
        <n v="61333"/>
        <n v="19334"/>
        <n v="56890"/>
        <n v="17841"/>
        <n v="8396"/>
        <n v="37625"/>
        <n v="24615"/>
        <n v="68817"/>
        <n v="56343"/>
        <n v="14800"/>
        <n v="4890"/>
        <n v="12701"/>
        <n v="58052"/>
        <n v="24847"/>
        <n v="34154"/>
        <n v="9609"/>
        <n v="13637"/>
        <n v="19262"/>
        <n v="39466"/>
        <n v="42841"/>
        <n v="39404"/>
        <n v="18859"/>
        <n v="8538"/>
        <n v="14957"/>
        <n v="20998"/>
        <n v="16330"/>
        <n v="77798"/>
        <n v="5239"/>
        <n v="30360"/>
        <n v="2988"/>
        <n v="61660"/>
        <n v="24916"/>
        <n v="15145"/>
        <n v="84691"/>
        <n v="2285"/>
        <n v="19987"/>
        <n v="42667"/>
        <n v="89591"/>
        <n v="7"/>
        <n v="43239"/>
        <n v="11580"/>
        <n v="23275"/>
        <n v="30059"/>
        <n v="410"/>
        <n v="44739"/>
        <n v="28527"/>
        <n v="14049"/>
        <n v="18171"/>
        <n v="3144"/>
        <n v="9730"/>
        <n v="36938"/>
        <n v="21288"/>
        <n v="70701"/>
        <n v="27361"/>
        <n v="36272"/>
        <n v="20792"/>
        <n v="8710"/>
        <n v="49816"/>
        <n v="34475"/>
        <n v="12206"/>
        <n v="11496"/>
        <n v="7377"/>
        <n v="37792"/>
        <n v="18636"/>
        <n v="59627"/>
        <n v="27550"/>
        <n v="23518"/>
        <n v="67621"/>
        <n v="33310"/>
        <n v="28771"/>
        <n v="15954"/>
        <n v="12676"/>
        <n v="2701"/>
        <n v="62688"/>
        <n v="54808"/>
        <n v="52307"/>
        <n v="22331"/>
        <n v="85823"/>
        <n v="10245"/>
        <n v="58146"/>
        <n v="15403"/>
        <n v="28185"/>
        <n v="28102"/>
        <n v="11978"/>
        <n v="69596"/>
        <n v="35340"/>
        <n v="12264"/>
        <n v="43415"/>
        <n v="85743"/>
        <n v="6636"/>
        <n v="19443"/>
        <n v="35505"/>
        <n v="9418"/>
        <n v="63789"/>
        <n v="18395"/>
        <n v="56125"/>
        <n v="63650"/>
        <n v="6259"/>
        <n v="97772"/>
        <n v="49257"/>
        <n v="20516"/>
        <n v="8875"/>
        <n v="16844"/>
        <n v="52791"/>
        <n v="39319"/>
        <n v="39154"/>
        <n v="20785"/>
        <n v="59490"/>
        <n v="32244"/>
        <n v="21890"/>
        <n v="59400"/>
        <n v="66614"/>
        <n v="49351"/>
        <n v="10967"/>
        <n v="475"/>
        <n v="12130"/>
        <n v="9417"/>
        <n v="72237"/>
        <n v="60397"/>
        <n v="41309"/>
        <n v="2940"/>
        <n v="21454"/>
        <n v="48524"/>
        <n v="40125"/>
        <n v="36807"/>
        <n v="21120"/>
        <n v="52613"/>
        <n v="16309"/>
        <n v="21869"/>
        <n v="68488"/>
        <n v="59182"/>
        <n v="14129"/>
        <n v="4037"/>
        <n v="34850"/>
        <n v="5472"/>
        <n v="41050"/>
        <n v="22583"/>
        <n v="49490"/>
        <n v="28044"/>
        <n v="29254"/>
        <n v="15996"/>
        <n v="66615"/>
        <n v="20471"/>
        <n v="74927"/>
        <n v="71322"/>
        <n v="11660"/>
        <n v="34444"/>
        <n v="23719"/>
        <n v="37437"/>
        <n v="1044"/>
        <n v="20509"/>
        <n v="50567"/>
        <n v="31736"/>
        <n v="42228"/>
        <n v="71696"/>
        <n v="4390"/>
        <n v="8272"/>
        <n v="87833"/>
        <n v="3363"/>
        <n v="59842"/>
        <n v="25286"/>
        <n v="30565"/>
        <n v="8"/>
        <n v="24613"/>
        <n v="6145"/>
        <n v="14309"/>
        <n v="91440"/>
        <n v="29689"/>
        <n v="82543"/>
        <n v="3399"/>
        <n v="45632"/>
        <n v="38552"/>
        <n v="12564"/>
        <n v="2753"/>
        <n v="72396"/>
        <n v="43666"/>
        <n v="43705"/>
        <n v="33446"/>
        <n v="13838"/>
        <n v="45631"/>
        <n v="10569"/>
        <n v="71447"/>
        <n v="29576"/>
        <n v="14280"/>
        <n v="69749"/>
        <n v="76881"/>
        <n v="77167"/>
        <n v="34685"/>
        <n v="8882"/>
        <n v="85339"/>
        <n v="18959"/>
        <n v="11500"/>
        <n v="60592"/>
        <n v="52687"/>
        <n v="13588"/>
        <n v="55556"/>
        <n v="38771"/>
        <n v="15865"/>
        <n v="59610"/>
        <n v="40816"/>
        <n v="27184"/>
        <n v="54826"/>
        <n v="49329"/>
        <n v="31404"/>
        <n v="4322"/>
        <n v="50924"/>
        <n v="7389"/>
        <n v="47579"/>
        <n v="35819"/>
        <n v="63550"/>
        <n v="839"/>
        <n v="42921"/>
        <n v="75813"/>
        <n v="995"/>
        <n v="30229"/>
        <n v="15379"/>
        <n v="51605"/>
        <n v="18164"/>
        <n v="67839"/>
        <n v="53082"/>
        <n v="33534"/>
        <n v="42743"/>
        <n v="56378"/>
        <n v="11596"/>
        <n v="22171"/>
        <n v="39025"/>
        <n v="21836"/>
        <n v="47305"/>
        <n v="50565"/>
        <n v="18654"/>
        <n v="55075"/>
        <n v="12085"/>
        <n v="21925"/>
        <n v="47544"/>
        <n v="43338"/>
        <n v="22617"/>
        <n v="6757"/>
        <n v="6221"/>
        <n v="28370"/>
        <n v="35105"/>
        <n v="85788"/>
        <n v="33174"/>
        <n v="24620"/>
        <n v="25529"/>
        <n v="17875"/>
        <n v="36874"/>
        <n v="92810"/>
        <n v="349"/>
        <n v="38627"/>
        <n v="18559"/>
        <n v="18101"/>
        <n v="33802"/>
        <n v="32147"/>
        <n v="3704"/>
        <n v="14639"/>
        <n v="21337"/>
        <n v="75437"/>
        <n v="55436"/>
        <n v="36467"/>
        <n v="20967"/>
        <n v="43225"/>
        <n v="37571"/>
        <n v="21282"/>
        <n v="16483"/>
        <n v="27217"/>
        <n v="65049"/>
        <n v="45183"/>
        <n v="34088"/>
        <n v="4706"/>
        <n v="21481"/>
        <n v="53916"/>
        <n v="4185"/>
        <n v="8081"/>
        <n v="22982"/>
        <n v="8924"/>
        <n v="67754"/>
        <n v="20190"/>
        <n v="25081"/>
        <n v="41991"/>
        <n v="39569"/>
        <n v="43582"/>
        <n v="16865"/>
        <n v="40281"/>
        <n v="38579"/>
        <n v="24675"/>
        <n v="24963"/>
        <n v="51755"/>
        <n v="91296"/>
        <n v="69141"/>
        <n v="3647"/>
        <n v="32015"/>
        <n v="39588"/>
        <n v="5221"/>
        <n v="75008"/>
        <n v="24333"/>
        <n v="71598"/>
        <m/>
      </sharedItems>
    </cacheField>
    <cacheField name="Impressions" numFmtId="0">
      <sharedItems containsString="0" containsBlank="1" containsNumber="1" containsInteger="1" minValue="0" maxValue="249988" count="301">
        <n v="210102"/>
        <n v="198492"/>
        <n v="40281"/>
        <n v="131155"/>
        <n v="218686"/>
        <n v="237576"/>
        <n v="121537"/>
        <n v="191409"/>
        <n v="74707"/>
        <n v="221180"/>
        <n v="164677"/>
        <n v="171691"/>
        <n v="189381"/>
        <n v="238350"/>
        <n v="123310"/>
        <n v="156891"/>
        <n v="119671"/>
        <n v="66155"/>
        <n v="49847"/>
        <n v="132324"/>
        <n v="55563"/>
        <n v="247779"/>
        <n v="242724"/>
        <n v="222958"/>
        <n v="95204"/>
        <n v="75946"/>
        <n v="147803"/>
        <n v="111635"/>
        <n v="148856"/>
        <n v="194571"/>
        <n v="119530"/>
        <n v="177348"/>
        <n v="66017"/>
        <n v="213312"/>
        <n v="59816"/>
        <n v="151453"/>
        <n v="116619"/>
        <n v="160585"/>
        <n v="242332"/>
        <n v="116367"/>
        <n v="122189"/>
        <n v="73397"/>
        <n v="84738"/>
        <n v="66958"/>
        <n v="223305"/>
        <n v="158154"/>
        <n v="161750"/>
        <n v="183660"/>
        <n v="101367"/>
        <n v="126475"/>
        <n v="192999"/>
        <n v="184832"/>
        <n v="104674"/>
        <n v="107649"/>
        <n v="83585"/>
        <n v="101272"/>
        <n v="165818"/>
        <n v="141520"/>
        <n v="85893"/>
        <n v="240422"/>
        <n v="141459"/>
        <n v="218136"/>
        <n v="75046"/>
        <n v="241207"/>
        <n v="138317"/>
        <n v="248611"/>
        <n v="136059"/>
        <n v="221749"/>
        <n v="206205"/>
        <n v="175720"/>
        <n v="165932"/>
        <n v="216037"/>
        <n v="104324"/>
        <n v="66916"/>
        <n v="73142"/>
        <n v="111031"/>
        <n v="220225"/>
        <n v="193087"/>
        <n v="192747"/>
        <n v="99189"/>
        <n v="140102"/>
        <n v="52149"/>
        <n v="147971"/>
        <n v="159891"/>
        <n v="195683"/>
        <n v="159735"/>
        <n v="177513"/>
        <n v="245244"/>
        <n v="128397"/>
        <n v="88368"/>
        <n v="58743"/>
        <n v="43654"/>
        <n v="103646"/>
        <n v="112588"/>
        <n v="200806"/>
        <n v="219785"/>
        <n v="215211"/>
        <n v="154014"/>
        <n v="126365"/>
        <n v="237133"/>
        <n v="194243"/>
        <n v="214668"/>
        <n v="216048"/>
        <n v="52289"/>
        <n v="148177"/>
        <n v="235229"/>
        <n v="225763"/>
        <n v="154793"/>
        <n v="161999"/>
        <n v="202082"/>
        <n v="182633"/>
        <n v="184539"/>
        <n v="243502"/>
        <n v="213724"/>
        <n v="207450"/>
        <n v="133747"/>
        <n v="97716"/>
        <n v="47151"/>
        <n v="221187"/>
        <n v="177084"/>
        <n v="86413"/>
        <n v="249373"/>
        <n v="217953"/>
        <n v="208722"/>
        <n v="249684"/>
        <n v="85379"/>
        <n v="150350"/>
        <n v="76914"/>
        <n v="179978"/>
        <n v="168803"/>
        <n v="96088"/>
        <n v="79310"/>
        <n v="194351"/>
        <n v="127163"/>
        <n v="99182"/>
        <n v="241039"/>
        <n v="104106"/>
        <n v="204246"/>
        <n v="64596"/>
        <n v="229420"/>
        <n v="118714"/>
        <n v="198059"/>
        <n v="230961"/>
        <n v="197795"/>
        <n v="198038"/>
        <n v="113770"/>
        <n v="86819"/>
        <n v="182635"/>
        <n v="198670"/>
        <n v="182628"/>
        <n v="93551"/>
        <n v="121889"/>
        <n v="61636"/>
        <n v="72779"/>
        <n v="59975"/>
        <n v="175832"/>
        <n v="41177"/>
        <n v="235804"/>
        <n v="71348"/>
        <n v="206703"/>
        <n v="46471"/>
        <n v="62612"/>
        <n v="147522"/>
        <n v="117576"/>
        <n v="65537"/>
        <n v="198562"/>
        <n v="231305"/>
        <n v="247815"/>
        <n v="149834"/>
        <n v="103449"/>
        <n v="119973"/>
        <n v="193515"/>
        <n v="136546"/>
        <n v="133680"/>
        <n v="179999"/>
        <n v="143896"/>
        <n v="97056"/>
        <n v="202396"/>
        <n v="75643"/>
        <n v="248786"/>
        <n v="180180"/>
        <n v="140494"/>
        <n v="166969"/>
        <n v="67723"/>
        <n v="129152"/>
        <n v="43726"/>
        <n v="91924"/>
        <n v="124878"/>
        <n v="71585"/>
        <n v="131736"/>
        <n v="155142"/>
        <n v="172439"/>
        <n v="43712"/>
        <n v="143754"/>
        <n v="57772"/>
        <n v="196498"/>
        <n v="139304"/>
        <n v="136652"/>
        <n v="113297"/>
        <n v="166503"/>
        <n v="76321"/>
        <n v="236037"/>
        <n v="44114"/>
        <n v="107203"/>
        <n v="69165"/>
        <n v="154044"/>
        <n v="196995"/>
        <n v="210954"/>
        <n v="237096"/>
        <n v="158516"/>
        <n v="219436"/>
        <n v="198280"/>
        <n v="243532"/>
        <n v="151279"/>
        <n v="244456"/>
        <n v="231648"/>
        <n v="45704"/>
        <n v="188159"/>
        <n v="143409"/>
        <n v="240641"/>
        <n v="76059"/>
        <n v="168267"/>
        <n v="48125"/>
        <n v="150169"/>
        <n v="198056"/>
        <n v="249988"/>
        <n v="213359"/>
        <n v="59508"/>
        <n v="87055"/>
        <n v="119134"/>
        <n v="202962"/>
        <n v="141376"/>
        <n v="126652"/>
        <n v="201731"/>
        <n v="94061"/>
        <n v="208280"/>
        <n v="213895"/>
        <n v="90138"/>
        <n v="150448"/>
        <n v="236910"/>
        <n v="76487"/>
        <n v="64089"/>
        <n v="68625"/>
        <n v="82229"/>
        <n v="226481"/>
        <n v="128009"/>
        <n v="165354"/>
        <n v="186649"/>
        <n v="218486"/>
        <n v="88320"/>
        <n v="150677"/>
        <n v="164398"/>
        <n v="208452"/>
        <n v="53669"/>
        <n v="216313"/>
        <n v="145823"/>
        <n v="194268"/>
        <n v="163008"/>
        <n v="50225"/>
        <n v="161863"/>
        <n v="175542"/>
        <n v="83753"/>
        <n v="41969"/>
        <n v="168335"/>
        <n v="249203"/>
        <n v="57778"/>
        <n v="72556"/>
        <n v="144061"/>
        <n v="62911"/>
        <n v="79062"/>
        <n v="52115"/>
        <n v="119141"/>
        <n v="49110"/>
        <n v="108785"/>
        <n v="46570"/>
        <n v="177710"/>
        <n v="69426"/>
        <n v="96503"/>
        <n v="160030"/>
        <n v="186470"/>
        <n v="101212"/>
        <n v="129393"/>
        <n v="85272"/>
        <n v="166945"/>
        <n v="236733"/>
        <n v="172311"/>
        <n v="206129"/>
        <n v="183273"/>
        <n v="212307"/>
        <n v="159273"/>
        <n v="196683"/>
        <n v="73997"/>
        <n v="104178"/>
        <n v="180272"/>
        <n v="200928"/>
        <n v="199476"/>
        <n v="116260"/>
        <n v="172130"/>
        <n v="216422"/>
        <n v="202932"/>
        <m/>
      </sharedItems>
    </cacheField>
    <cacheField name="Campaign" numFmtId="0">
      <sharedItems containsBlank="1" count="6">
        <s v="iPhone 16 Launch"/>
        <s v="Apple Watch Ultra 2 Launch"/>
        <s v="Sustainability Awareness Drive"/>
        <s v="MacBook Air M3 Campaign"/>
        <s v="Apple Event September 2025"/>
        <m/>
      </sharedItems>
    </cacheField>
    <cacheField name="Engagement_Rate" numFmtId="0">
      <sharedItems containsString="0" containsBlank="1" containsNumber="1" minValue="0" maxValue="0.490541055630229" count="301">
        <n v="0.065882285746922897"/>
        <n v="0.114070088467041"/>
        <n v="0.19210049402944299"/>
        <n v="0.056368419046166802"/>
        <n v="0.11443347996670999"/>
        <n v="0.053443950567397397"/>
        <n v="0.198803656499667"/>
        <n v="0.11204802282024399"/>
        <n v="0.17280843829895501"/>
        <n v="0.045293426168731402"/>
        <n v="0.0519866162244879"/>
        <n v="0.071873307278774098"/>
        <n v="0.13500298340382599"/>
        <n v="0.056026851269142003"/>
        <n v="0.087989619657773105"/>
        <n v="0.062234290048505003"/>
        <n v="0.13010670922779999"/>
        <n v="0.29326581513113098"/>
        <n v="0.49054105563022898"/>
        <n v="0.059097367068710098"/>
        <n v="0.26499649047027701"/>
        <n v="0.084337252148083602"/>
        <n v="0.039975445361810101"/>
        <n v="0.022165609666394599"/>
        <n v="0.14992017142136899"/>
        <n v="0.242962104653306"/>
        <n v="0.157818176897627"/>
        <n v="0.204738657231155"/>
        <n v="0.16575751061428501"/>
        <n v="0.13314933880177399"/>
        <n v="0.112080649209404"/>
        <n v="0.043073505198818099"/>
        <n v="0.131859975460866"/>
        <n v="0.055303967896789701"/>
        <n v="0.19404507155276199"/>
        <n v="0.14055845707909401"/>
        <n v="0.12041777068916699"/>
        <n v="0.049357038328610998"/>
        <n v="0.086113266097750205"/>
        <n v="0.117490353794461"/>
        <n v="0.161495715653619"/>
        <n v="0.234805237271278"/>
        <n v="0.13390686586891401"/>
        <n v="0.23849278652289499"/>
        <n v="0.078063634938760895"/>
        <n v="0.0456833213197263"/>
        <n v="0.087845440494590393"/>
        <n v="0.090574975498203203"/>
        <n v="0.0857182317716811"/>
        <n v="0.064684720300454607"/>
        <n v="0.129125021373168"/>
        <n v="0.108292936288089"/>
        <n v="0.240613714962646"/>
        <n v="0.15317374058281999"/>
        <n v="0.26870850032900601"/>
        <n v="0.055652105221581503"/>
        <n v="0.058335042034037297"/>
        <n v="0.18511871113623499"/>
        <n v="0.221950566402384"/>
        <n v="0.069049421433978603"/>
        <n v="0.171406555963212"/>
        <n v="0.036761469908680802"/>
        <n v="0.199211150494363"/>
        <n v="0.025467751765081401"/>
        <n v="0.152627659651381"/>
        <n v="0.020023249172401902"/>
        <n v="0.13425793222058099"/>
        <n v="0.043161412227338103"/>
        <n v="0.068868359157149395"/>
        <n v="0.12340086501252"/>
        <n v="0.096202058674637797"/>
        <n v="0.086151909163708101"/>
        <n v="0.10871899083624099"/>
        <n v="0.057370434574690703"/>
        <n v="0.0518170134806267"/>
        <n v="0.19480145184678199"/>
        <n v="0.053436258372119398"/>
        <n v="0.110939628250478"/>
        <n v="0.0694277991356545"/>
        <n v="0.045408260996683103"/>
        <n v="0.087457709383163704"/>
        <n v="0.103645323975532"/>
        <n v="0.062262200025680697"/>
        <n v="0.13050140408153099"/>
        <n v="0.055119760020032403"/>
        <n v="0.032109431245500399"/>
        <n v="0.069994873614890193"/>
        <n v="0.10287713460879799"/>
        <n v="0.087174933993784898"/>
        <n v="0.23651095419156301"/>
        <n v="0.057709003625963901"/>
        <n v="0.367640995097815"/>
        <n v="0.22984003241803799"/>
        <n v="0.161535865278715"/>
        <n v="0.110624184536319"/>
        <n v="0.045417112177810103"/>
        <n v="0.110008317418719"/>
        <n v="0.035977248821535697"/>
        <n v="0.035903929094290403"/>
        <n v="0.056748744375519203"/>
        <n v="0.067889190344053593"/>
        <n v="0.077063185942944507"/>
        <n v="0.076848663260016298"/>
        <n v="0.17093461339861199"/>
        <n v="0.038663220337839199"/>
        <n v="0.042048386891072098"/>
        <n v="0.032077886987681797"/>
        <n v="0.105967324103803"/>
        <n v="0.12537731714393299"/>
        <n v="0.062088657079799298"/>
        <n v="0.113287302951821"/>
        <n v="0.052102807536618299"/>
        <n v="0.106882078997298"/>
        <n v="0.078807246729426697"/>
        <n v="0.090547119787900698"/>
        <n v="0.132511383432899"/>
        <n v="0.14930001228048601"/>
        <n v="0.096286399015927601"/>
        <n v="0.108030761301523"/>
        <n v="0.050524045085947898"/>
        <n v="0.19881267864788901"/>
        <n v="0.095952649244304702"/>
        <n v="0.085321147219813501"/>
        <n v="0.10978718103506099"/>
        <n v="0.070457057720959296"/>
        <n v="0.040443200318579502"/>
        <n v="0.084888593282341204"/>
        <n v="0.33122708479600599"/>
        <n v="0.097573036704486096"/>
        <n v="0.073511726687321893"/>
        <n v="0.20516609774373501"/>
        <n v="0.115370066826378"/>
        <n v="0.085309568769906002"/>
        <n v="0.099871818060284806"/>
        <n v="0.148272872093727"/>
        <n v="0.031559208260903797"/>
        <n v="0.19899909707413599"/>
        <n v="0.028308999931455199"/>
        <n v="0.24524738373893101"/>
        <n v="0.10312963124400699"/>
        <n v="0.14677291642097801"/>
        <n v="0.067626313371268204"/>
        <n v="0.103623555492053"/>
        <n v="0.125756465026922"/>
        <n v="0.074591745018632805"/>
        <n v="0.092062933989628198"/>
        <n v="0.1021780946567"/>
        <n v="0.025909601116982001"/>
        <n v="0.110600493280314"/>
        <n v="0.118963138182535"/>
        <n v="0.075338585370546607"/>
        <n v="0.145714543560124"/>
        <n v="0.33944448049840997"/>
        <n v="0.180629027604117"/>
        <n v="0.17640683618174199"/>
        <n v="0.072176850630147005"/>
        <n v="0.11911989702989501"/>
        <n v="0.079812047293515001"/>
        <n v="0.35412345125301298"/>
        <n v="0.111536842716361"/>
        <n v="0.14479998278496301"/>
        <n v="0.32075321024723702"/>
        <n v="0.064817450956467501"/>
        <n v="0.165212288222086"/>
        <n v="0.249614721455056"/>
        <n v="0.051716844109144802"/>
        <n v="0.049947039623008602"/>
        <n v="0.064471480741682297"/>
        <n v="0.12222859965028"/>
        <n v="0.24183897379385"/>
        <n v="0.082343527293641097"/>
        <n v="0.106591220318838"/>
        <n v="0.085238674146441498"/>
        <n v="0.080670257330939604"/>
        <n v="0.075372640959116402"/>
        <n v="0.0633930060599322"/>
        <n v="0.24662050774810401"/>
        <n v="0.073133856400324104"/>
        <n v="0.096505955607260399"/>
        <n v="0.042237103373984099"/>
        <n v="0.041131091131091098"/>
        <n v="0.12615485358805401"/>
        <n v="0.1164767112458"/>
        <n v="0.138180529509915"/>
        <n v="0.16660214321110001"/>
        <n v="0.48803915290673699"/>
        <n v="0.051390278926069399"/>
        <n v="0.055630295168084098"/>
        <n v="0.088356499266606103"/>
        <n v="0.108117750652821"/>
        <n v="0.10512949426976601"/>
        <n v="0.053995905798572198"/>
        <n v="0.27733803074670599"/>
        <n v="0.11272034169484001"/>
        <n v="0.12668766876687701"/>
        <n v="0.028916324848090098"/>
        <n v="0.071814161833113205"/>
        <n v="0.079852471972601896"/>
        <n v="0.21037626768581699"/>
        <n v="0.11130730377230399"/>
        <n v="0.15675895231980699"/>
        <n v="0.020280718700881599"/>
        <n v="0.214535068232307"/>
        <n v="0.23586093672751701"/>
        <n v="0.338118990819056"/>
        <n v="0.13539638025499201"/>
        <n v="0.108647427599685"/>
        <n v="0.040326327066564298"/>
        <n v="0.034479704423524597"/>
        <n v="0.106708471069167"/>
        <n v="0.073064583751070902"/>
        <n v="0.088536413153116805"/>
        <n v="0.034792142305733999"/>
        <n v="0.071840771025720701"/>
        <n v="0.080922538207284803"/>
        <n v="0.080820900676889101"/>
        <n v="0.33614125678277601"/>
        <n v="0.030867510988047301"/>
        <n v="0.080636501195880297"/>
        <n v="0.0496050132770392"/>
        <n v="0.22216963147030599"/>
        <n v="0.074453101321114698"/>
        <n v="0.0620675324675325"/>
        <n v="0.134102244804187"/>
        <n v="0.016616512501514701"/>
        <n v="0.100996847848697"/>
        <n v="0.099723939463533307"/>
        <n v="0.30411037171472699"/>
        <n v="0.19849520418126501"/>
        <n v="0.068846844729464299"/>
        <n v="0.11355820301337199"/>
        <n v="0.170028859212313"/>
        <n v="0.045984271863057799"/>
        <n v="0.113016839256237"/>
        <n v="0.16780599823518799"/>
        <n v="0.12316112924908799"/>
        <n v="0.062151990462610197"/>
        <n v="0.14587632297144401"/>
        <n v="0.063663192598107002"/>
        <n v="0.108745937275759"/>
        <n v="0.184841868552826"/>
        <n v="0.30376507669022801"/>
        <n v="0.25244444444444403"/>
        <n v="0.0583127607048608"/>
        <n v="0.063290077313328696"/>
        <n v="0.177175042379833"/>
        <n v="0.13333212380710499"/>
        <n v="0.110672974406506"/>
        <n v="0.045549829279679203"/>
        <n v="0.123222373188406"/>
        <n v="0.114111642785561"/>
        <n v="0.042810739790021798"/>
        <n v="0.0381142901003588"/>
        <n v="0.29972609886526702"/>
        <n v="0.039036026498638597"/>
        <n v="0.17674852389540699"/>
        <n v="0.12784400930673101"/>
        <n v="0.087198174322732594"/>
        <n v="0.27422598307615698"/>
        <n v="0.12648968572187599"/>
        <n v="0.043345752013763103"/>
        <n v="0.057203921053574198"/>
        <n v="0.15294622221163201"/>
        <n v="0.125161137018445"/>
        <n v="0.046311641513143903"/>
        <n v="0.40382152376336999"/>
        <n v="0.19362974805667299"/>
        <n v="0.113139572819847"/>
        <n v="0.41655672298961999"/>
        <n v="0.193670790012901"/>
        <n v="0.173827113115226"/>
        <n v="0.077546772311798601"/>
        <n v="0.39401343921808202"/>
        <n v="0.10041825619340899"/>
        <n v="0.454928065278076"/>
        <n v="0.055281075910190797"/>
        <n v="0.052300290957278298"/>
        <n v="0.22627275835984401"/>
        <n v="0.098006623758045405"/>
        <n v="0.081455462004611998"/>
        <n v="0.076641109749832001"/>
        <n v="0.070768897853825202"/>
        <n v="0.096549863964724703"/>
        <n v="0.054964209769684601"/>
        <n v="0.076089940988370894"/>
        <n v="0.066786217943137702"/>
        <n v="0.034468706489625398"/>
        <n v="0.076863476889667298"/>
        <n v="0.123067067972323"/>
        <n v="0.14860020216860401"/>
        <n v="0.118373219851233"/>
        <n v="0.33664878305877299"/>
        <n v="0.22742805582752601"/>
        <n v="0.14682812638679299"/>
        <n v="0.098433269628921793"/>
        <n v="0.0553700695823056"/>
        <n v="0.077421297092723204"/>
        <n v="0.13062801371056801"/>
        <n v="0.099518533235992704"/>
        <n v="0.13041807107799699"/>
        <m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:id="rId1" refreshedBy="chauh" refreshedDate="46145.9698263889" createdVersion="5" refreshedVersion="5" minRefreshableVersion="3" recordCount="5">
  <cacheSource type="worksheet">
    <worksheetSource sheet="Campaign Metadata" ref="$A$1:$G$6"/>
  </cacheSource>
  <cacheFields count="7">
    <cacheField name="Campaign_Name" numFmtId="0">
      <sharedItems count="5">
        <s v="iPhone 16 Launch"/>
        <s v="MacBook Air M3 Campaign"/>
        <s v="Apple Watch Ultra 2 Launch"/>
        <s v="Sustainability Awareness Drive"/>
        <s v="Apple Event September 2025"/>
      </sharedItems>
    </cacheField>
    <cacheField name="Start_Date" numFmtId="0">
      <sharedItems containsDate="1" containsMixedTypes="1" minDate="2025-09-01T00:00:00" maxDate="2025-09-02T00:00:00" count="5">
        <s v="2024-06-15"/>
        <s v="2024-10-01"/>
        <s v="2024-12-25"/>
        <s v="2025-03-01"/>
        <d v="2025-09-01T00:00:00"/>
      </sharedItems>
    </cacheField>
    <cacheField name="End_Date" numFmtId="0">
      <sharedItems containsDate="1" containsMixedTypes="1" minDate="2025-09-30T00:00:00" maxDate="2025-10-01T00:00:00" count="5">
        <s v="2024-07-15"/>
        <s v="2024-10-31"/>
        <s v="2025-01-10"/>
        <s v="2025-03-31"/>
        <d v="2025-09-30T00:00:00"/>
      </sharedItems>
    </cacheField>
    <cacheField name="Objective" numFmtId="0">
      <sharedItems count="5">
        <s v="Product Launch"/>
        <s v="Product Promotion"/>
        <s v="Health &amp; Fitness Awareness"/>
        <s v="Sustainability Branding"/>
        <s v="Brand Engagement"/>
      </sharedItems>
    </cacheField>
    <cacheField name="Ad_Spend" numFmtId="0">
      <sharedItems containsSemiMixedTypes="0" containsString="0" containsNumber="1" containsInteger="1" minValue="0" maxValue="85000" count="5">
        <n v="85000"/>
        <n v="60000"/>
        <n v="55000"/>
        <n v="40000"/>
        <n v="75000"/>
      </sharedItems>
    </cacheField>
    <cacheField name="Impressions" numFmtId="0">
      <sharedItems containsSemiMixedTypes="0" containsString="0" containsNumber="1" containsInteger="1" minValue="0" maxValue="950000" count="5">
        <n v="950000"/>
        <n v="780000"/>
        <n v="700000"/>
        <n v="550000"/>
        <n v="880000"/>
      </sharedItems>
    </cacheField>
    <cacheField name="Engagement_Uplift" numFmtId="0">
      <sharedItems containsSemiMixedTypes="0" containsString="0" containsNumber="1" minValue="0" maxValue="0.47" count="5">
        <n v="0.45000000000000001"/>
        <n v="0.38"/>
        <n v="0.40999999999999998"/>
        <n v="0.32000000000000001"/>
        <n v="0.46999999999999997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301">
  <r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</r>
  <r>
    <x v="2"/>
    <x v="2"/>
    <x v="2"/>
    <x v="1"/>
    <x v="2"/>
    <x v="2"/>
    <x v="2"/>
    <x v="2"/>
    <x v="2"/>
    <x v="2"/>
    <x v="2"/>
    <x v="2"/>
    <x v="2"/>
  </r>
  <r>
    <x v="3"/>
    <x v="0"/>
    <x v="3"/>
    <x v="2"/>
    <x v="3"/>
    <x v="3"/>
    <x v="3"/>
    <x v="3"/>
    <x v="3"/>
    <x v="3"/>
    <x v="3"/>
    <x v="3"/>
    <x v="3"/>
  </r>
  <r>
    <x v="4"/>
    <x v="0"/>
    <x v="4"/>
    <x v="2"/>
    <x v="0"/>
    <x v="0"/>
    <x v="4"/>
    <x v="4"/>
    <x v="4"/>
    <x v="4"/>
    <x v="4"/>
    <x v="4"/>
    <x v="1"/>
  </r>
  <r>
    <x v="5"/>
    <x v="1"/>
    <x v="5"/>
    <x v="0"/>
    <x v="4"/>
    <x v="4"/>
    <x v="5"/>
    <x v="5"/>
    <x v="5"/>
    <x v="5"/>
    <x v="0"/>
    <x v="5"/>
    <x v="1"/>
  </r>
  <r>
    <x v="6"/>
    <x v="2"/>
    <x v="6"/>
    <x v="3"/>
    <x v="5"/>
    <x v="5"/>
    <x v="6"/>
    <x v="6"/>
    <x v="6"/>
    <x v="6"/>
    <x v="5"/>
    <x v="6"/>
    <x v="3"/>
  </r>
  <r>
    <x v="7"/>
    <x v="2"/>
    <x v="7"/>
    <x v="2"/>
    <x v="6"/>
    <x v="6"/>
    <x v="7"/>
    <x v="7"/>
    <x v="7"/>
    <x v="7"/>
    <x v="6"/>
    <x v="7"/>
    <x v="3"/>
  </r>
  <r>
    <x v="8"/>
    <x v="0"/>
    <x v="8"/>
    <x v="3"/>
    <x v="1"/>
    <x v="1"/>
    <x v="8"/>
    <x v="8"/>
    <x v="8"/>
    <x v="8"/>
    <x v="7"/>
    <x v="8"/>
    <x v="0"/>
  </r>
  <r>
    <x v="9"/>
    <x v="3"/>
    <x v="9"/>
    <x v="2"/>
    <x v="7"/>
    <x v="7"/>
    <x v="9"/>
    <x v="9"/>
    <x v="9"/>
    <x v="9"/>
    <x v="8"/>
    <x v="9"/>
    <x v="2"/>
  </r>
  <r>
    <x v="10"/>
    <x v="0"/>
    <x v="10"/>
    <x v="3"/>
    <x v="3"/>
    <x v="3"/>
    <x v="10"/>
    <x v="10"/>
    <x v="10"/>
    <x v="10"/>
    <x v="9"/>
    <x v="10"/>
    <x v="2"/>
  </r>
  <r>
    <x v="11"/>
    <x v="0"/>
    <x v="11"/>
    <x v="1"/>
    <x v="1"/>
    <x v="1"/>
    <x v="11"/>
    <x v="11"/>
    <x v="11"/>
    <x v="11"/>
    <x v="10"/>
    <x v="11"/>
    <x v="3"/>
  </r>
  <r>
    <x v="12"/>
    <x v="0"/>
    <x v="12"/>
    <x v="3"/>
    <x v="5"/>
    <x v="5"/>
    <x v="12"/>
    <x v="12"/>
    <x v="12"/>
    <x v="12"/>
    <x v="11"/>
    <x v="12"/>
    <x v="4"/>
  </r>
  <r>
    <x v="13"/>
    <x v="0"/>
    <x v="13"/>
    <x v="1"/>
    <x v="6"/>
    <x v="6"/>
    <x v="13"/>
    <x v="13"/>
    <x v="13"/>
    <x v="13"/>
    <x v="12"/>
    <x v="13"/>
    <x v="1"/>
  </r>
  <r>
    <x v="14"/>
    <x v="1"/>
    <x v="14"/>
    <x v="1"/>
    <x v="2"/>
    <x v="2"/>
    <x v="14"/>
    <x v="14"/>
    <x v="14"/>
    <x v="14"/>
    <x v="1"/>
    <x v="14"/>
    <x v="1"/>
  </r>
  <r>
    <x v="15"/>
    <x v="2"/>
    <x v="15"/>
    <x v="3"/>
    <x v="6"/>
    <x v="6"/>
    <x v="15"/>
    <x v="15"/>
    <x v="15"/>
    <x v="15"/>
    <x v="13"/>
    <x v="15"/>
    <x v="3"/>
  </r>
  <r>
    <x v="16"/>
    <x v="1"/>
    <x v="16"/>
    <x v="1"/>
    <x v="3"/>
    <x v="8"/>
    <x v="16"/>
    <x v="16"/>
    <x v="16"/>
    <x v="16"/>
    <x v="14"/>
    <x v="16"/>
    <x v="4"/>
  </r>
  <r>
    <x v="17"/>
    <x v="1"/>
    <x v="17"/>
    <x v="0"/>
    <x v="6"/>
    <x v="6"/>
    <x v="17"/>
    <x v="17"/>
    <x v="17"/>
    <x v="17"/>
    <x v="15"/>
    <x v="17"/>
    <x v="0"/>
  </r>
  <r>
    <x v="18"/>
    <x v="1"/>
    <x v="18"/>
    <x v="1"/>
    <x v="3"/>
    <x v="8"/>
    <x v="18"/>
    <x v="18"/>
    <x v="18"/>
    <x v="18"/>
    <x v="16"/>
    <x v="18"/>
    <x v="3"/>
  </r>
  <r>
    <x v="19"/>
    <x v="0"/>
    <x v="19"/>
    <x v="2"/>
    <x v="2"/>
    <x v="2"/>
    <x v="19"/>
    <x v="19"/>
    <x v="19"/>
    <x v="19"/>
    <x v="17"/>
    <x v="19"/>
    <x v="3"/>
  </r>
  <r>
    <x v="20"/>
    <x v="3"/>
    <x v="20"/>
    <x v="3"/>
    <x v="8"/>
    <x v="9"/>
    <x v="20"/>
    <x v="20"/>
    <x v="20"/>
    <x v="20"/>
    <x v="18"/>
    <x v="20"/>
    <x v="1"/>
  </r>
  <r>
    <x v="21"/>
    <x v="2"/>
    <x v="21"/>
    <x v="0"/>
    <x v="5"/>
    <x v="5"/>
    <x v="21"/>
    <x v="21"/>
    <x v="21"/>
    <x v="21"/>
    <x v="19"/>
    <x v="21"/>
    <x v="3"/>
  </r>
  <r>
    <x v="22"/>
    <x v="3"/>
    <x v="22"/>
    <x v="3"/>
    <x v="3"/>
    <x v="8"/>
    <x v="22"/>
    <x v="22"/>
    <x v="22"/>
    <x v="22"/>
    <x v="20"/>
    <x v="22"/>
    <x v="3"/>
  </r>
  <r>
    <x v="23"/>
    <x v="1"/>
    <x v="23"/>
    <x v="2"/>
    <x v="7"/>
    <x v="7"/>
    <x v="23"/>
    <x v="23"/>
    <x v="23"/>
    <x v="23"/>
    <x v="21"/>
    <x v="23"/>
    <x v="3"/>
  </r>
  <r>
    <x v="24"/>
    <x v="1"/>
    <x v="24"/>
    <x v="2"/>
    <x v="6"/>
    <x v="6"/>
    <x v="24"/>
    <x v="24"/>
    <x v="24"/>
    <x v="24"/>
    <x v="22"/>
    <x v="24"/>
    <x v="1"/>
  </r>
  <r>
    <x v="25"/>
    <x v="3"/>
    <x v="25"/>
    <x v="2"/>
    <x v="6"/>
    <x v="6"/>
    <x v="25"/>
    <x v="25"/>
    <x v="25"/>
    <x v="25"/>
    <x v="23"/>
    <x v="25"/>
    <x v="0"/>
  </r>
  <r>
    <x v="26"/>
    <x v="3"/>
    <x v="26"/>
    <x v="1"/>
    <x v="7"/>
    <x v="7"/>
    <x v="26"/>
    <x v="26"/>
    <x v="26"/>
    <x v="26"/>
    <x v="24"/>
    <x v="26"/>
    <x v="0"/>
  </r>
  <r>
    <x v="27"/>
    <x v="3"/>
    <x v="27"/>
    <x v="1"/>
    <x v="4"/>
    <x v="4"/>
    <x v="27"/>
    <x v="27"/>
    <x v="27"/>
    <x v="27"/>
    <x v="25"/>
    <x v="27"/>
    <x v="3"/>
  </r>
  <r>
    <x v="28"/>
    <x v="1"/>
    <x v="28"/>
    <x v="3"/>
    <x v="9"/>
    <x v="4"/>
    <x v="28"/>
    <x v="28"/>
    <x v="28"/>
    <x v="28"/>
    <x v="26"/>
    <x v="28"/>
    <x v="1"/>
  </r>
  <r>
    <x v="29"/>
    <x v="1"/>
    <x v="29"/>
    <x v="3"/>
    <x v="8"/>
    <x v="9"/>
    <x v="29"/>
    <x v="29"/>
    <x v="29"/>
    <x v="29"/>
    <x v="27"/>
    <x v="29"/>
    <x v="0"/>
  </r>
  <r>
    <x v="30"/>
    <x v="2"/>
    <x v="30"/>
    <x v="0"/>
    <x v="3"/>
    <x v="3"/>
    <x v="30"/>
    <x v="30"/>
    <x v="30"/>
    <x v="30"/>
    <x v="28"/>
    <x v="30"/>
    <x v="0"/>
  </r>
  <r>
    <x v="31"/>
    <x v="2"/>
    <x v="31"/>
    <x v="0"/>
    <x v="3"/>
    <x v="8"/>
    <x v="31"/>
    <x v="31"/>
    <x v="31"/>
    <x v="31"/>
    <x v="29"/>
    <x v="31"/>
    <x v="0"/>
  </r>
  <r>
    <x v="32"/>
    <x v="1"/>
    <x v="32"/>
    <x v="3"/>
    <x v="7"/>
    <x v="7"/>
    <x v="32"/>
    <x v="32"/>
    <x v="32"/>
    <x v="32"/>
    <x v="30"/>
    <x v="32"/>
    <x v="1"/>
  </r>
  <r>
    <x v="33"/>
    <x v="3"/>
    <x v="33"/>
    <x v="1"/>
    <x v="2"/>
    <x v="2"/>
    <x v="33"/>
    <x v="33"/>
    <x v="33"/>
    <x v="33"/>
    <x v="31"/>
    <x v="33"/>
    <x v="1"/>
  </r>
  <r>
    <x v="34"/>
    <x v="3"/>
    <x v="34"/>
    <x v="2"/>
    <x v="3"/>
    <x v="8"/>
    <x v="34"/>
    <x v="34"/>
    <x v="34"/>
    <x v="34"/>
    <x v="32"/>
    <x v="34"/>
    <x v="3"/>
  </r>
  <r>
    <x v="35"/>
    <x v="2"/>
    <x v="35"/>
    <x v="3"/>
    <x v="9"/>
    <x v="4"/>
    <x v="35"/>
    <x v="35"/>
    <x v="35"/>
    <x v="35"/>
    <x v="33"/>
    <x v="35"/>
    <x v="2"/>
  </r>
  <r>
    <x v="36"/>
    <x v="1"/>
    <x v="36"/>
    <x v="0"/>
    <x v="2"/>
    <x v="2"/>
    <x v="36"/>
    <x v="36"/>
    <x v="36"/>
    <x v="36"/>
    <x v="34"/>
    <x v="36"/>
    <x v="0"/>
  </r>
  <r>
    <x v="37"/>
    <x v="2"/>
    <x v="37"/>
    <x v="1"/>
    <x v="1"/>
    <x v="1"/>
    <x v="37"/>
    <x v="37"/>
    <x v="37"/>
    <x v="37"/>
    <x v="35"/>
    <x v="37"/>
    <x v="2"/>
  </r>
  <r>
    <x v="38"/>
    <x v="2"/>
    <x v="38"/>
    <x v="3"/>
    <x v="5"/>
    <x v="5"/>
    <x v="38"/>
    <x v="38"/>
    <x v="38"/>
    <x v="38"/>
    <x v="36"/>
    <x v="38"/>
    <x v="1"/>
  </r>
  <r>
    <x v="39"/>
    <x v="0"/>
    <x v="39"/>
    <x v="3"/>
    <x v="6"/>
    <x v="6"/>
    <x v="39"/>
    <x v="39"/>
    <x v="39"/>
    <x v="39"/>
    <x v="37"/>
    <x v="39"/>
    <x v="1"/>
  </r>
  <r>
    <x v="40"/>
    <x v="0"/>
    <x v="40"/>
    <x v="1"/>
    <x v="1"/>
    <x v="1"/>
    <x v="40"/>
    <x v="40"/>
    <x v="40"/>
    <x v="40"/>
    <x v="38"/>
    <x v="40"/>
    <x v="1"/>
  </r>
  <r>
    <x v="41"/>
    <x v="0"/>
    <x v="41"/>
    <x v="3"/>
    <x v="3"/>
    <x v="8"/>
    <x v="41"/>
    <x v="41"/>
    <x v="41"/>
    <x v="41"/>
    <x v="39"/>
    <x v="41"/>
    <x v="2"/>
  </r>
  <r>
    <x v="42"/>
    <x v="3"/>
    <x v="42"/>
    <x v="1"/>
    <x v="9"/>
    <x v="4"/>
    <x v="42"/>
    <x v="42"/>
    <x v="42"/>
    <x v="42"/>
    <x v="40"/>
    <x v="42"/>
    <x v="1"/>
  </r>
  <r>
    <x v="43"/>
    <x v="1"/>
    <x v="43"/>
    <x v="2"/>
    <x v="8"/>
    <x v="9"/>
    <x v="43"/>
    <x v="43"/>
    <x v="43"/>
    <x v="43"/>
    <x v="41"/>
    <x v="43"/>
    <x v="3"/>
  </r>
  <r>
    <x v="44"/>
    <x v="1"/>
    <x v="44"/>
    <x v="1"/>
    <x v="5"/>
    <x v="5"/>
    <x v="44"/>
    <x v="44"/>
    <x v="44"/>
    <x v="44"/>
    <x v="42"/>
    <x v="44"/>
    <x v="1"/>
  </r>
  <r>
    <x v="45"/>
    <x v="1"/>
    <x v="45"/>
    <x v="1"/>
    <x v="3"/>
    <x v="8"/>
    <x v="45"/>
    <x v="45"/>
    <x v="45"/>
    <x v="45"/>
    <x v="43"/>
    <x v="45"/>
    <x v="4"/>
  </r>
  <r>
    <x v="46"/>
    <x v="1"/>
    <x v="46"/>
    <x v="1"/>
    <x v="7"/>
    <x v="7"/>
    <x v="46"/>
    <x v="46"/>
    <x v="46"/>
    <x v="46"/>
    <x v="44"/>
    <x v="46"/>
    <x v="2"/>
  </r>
  <r>
    <x v="47"/>
    <x v="0"/>
    <x v="9"/>
    <x v="3"/>
    <x v="0"/>
    <x v="0"/>
    <x v="47"/>
    <x v="47"/>
    <x v="47"/>
    <x v="47"/>
    <x v="45"/>
    <x v="47"/>
    <x v="4"/>
  </r>
  <r>
    <x v="48"/>
    <x v="3"/>
    <x v="47"/>
    <x v="3"/>
    <x v="3"/>
    <x v="8"/>
    <x v="48"/>
    <x v="48"/>
    <x v="48"/>
    <x v="48"/>
    <x v="46"/>
    <x v="48"/>
    <x v="1"/>
  </r>
  <r>
    <x v="49"/>
    <x v="3"/>
    <x v="48"/>
    <x v="1"/>
    <x v="5"/>
    <x v="5"/>
    <x v="49"/>
    <x v="49"/>
    <x v="49"/>
    <x v="49"/>
    <x v="47"/>
    <x v="49"/>
    <x v="3"/>
  </r>
  <r>
    <x v="50"/>
    <x v="0"/>
    <x v="49"/>
    <x v="3"/>
    <x v="6"/>
    <x v="6"/>
    <x v="50"/>
    <x v="50"/>
    <x v="50"/>
    <x v="50"/>
    <x v="48"/>
    <x v="50"/>
    <x v="0"/>
  </r>
  <r>
    <x v="51"/>
    <x v="3"/>
    <x v="50"/>
    <x v="0"/>
    <x v="6"/>
    <x v="6"/>
    <x v="51"/>
    <x v="51"/>
    <x v="51"/>
    <x v="51"/>
    <x v="49"/>
    <x v="51"/>
    <x v="1"/>
  </r>
  <r>
    <x v="52"/>
    <x v="0"/>
    <x v="46"/>
    <x v="0"/>
    <x v="3"/>
    <x v="8"/>
    <x v="52"/>
    <x v="52"/>
    <x v="52"/>
    <x v="52"/>
    <x v="50"/>
    <x v="52"/>
    <x v="3"/>
  </r>
  <r>
    <x v="53"/>
    <x v="1"/>
    <x v="51"/>
    <x v="3"/>
    <x v="2"/>
    <x v="2"/>
    <x v="53"/>
    <x v="53"/>
    <x v="53"/>
    <x v="53"/>
    <x v="51"/>
    <x v="53"/>
    <x v="2"/>
  </r>
  <r>
    <x v="54"/>
    <x v="0"/>
    <x v="52"/>
    <x v="3"/>
    <x v="0"/>
    <x v="0"/>
    <x v="54"/>
    <x v="54"/>
    <x v="54"/>
    <x v="54"/>
    <x v="52"/>
    <x v="54"/>
    <x v="4"/>
  </r>
  <r>
    <x v="55"/>
    <x v="1"/>
    <x v="53"/>
    <x v="1"/>
    <x v="7"/>
    <x v="7"/>
    <x v="55"/>
    <x v="55"/>
    <x v="55"/>
    <x v="55"/>
    <x v="53"/>
    <x v="55"/>
    <x v="4"/>
  </r>
  <r>
    <x v="56"/>
    <x v="1"/>
    <x v="54"/>
    <x v="2"/>
    <x v="3"/>
    <x v="8"/>
    <x v="56"/>
    <x v="56"/>
    <x v="56"/>
    <x v="56"/>
    <x v="54"/>
    <x v="56"/>
    <x v="4"/>
  </r>
  <r>
    <x v="57"/>
    <x v="2"/>
    <x v="55"/>
    <x v="3"/>
    <x v="2"/>
    <x v="2"/>
    <x v="57"/>
    <x v="57"/>
    <x v="57"/>
    <x v="57"/>
    <x v="55"/>
    <x v="57"/>
    <x v="2"/>
  </r>
  <r>
    <x v="58"/>
    <x v="0"/>
    <x v="56"/>
    <x v="0"/>
    <x v="6"/>
    <x v="6"/>
    <x v="58"/>
    <x v="58"/>
    <x v="58"/>
    <x v="58"/>
    <x v="56"/>
    <x v="58"/>
    <x v="3"/>
  </r>
  <r>
    <x v="59"/>
    <x v="2"/>
    <x v="57"/>
    <x v="1"/>
    <x v="6"/>
    <x v="6"/>
    <x v="59"/>
    <x v="59"/>
    <x v="59"/>
    <x v="59"/>
    <x v="57"/>
    <x v="59"/>
    <x v="2"/>
  </r>
  <r>
    <x v="60"/>
    <x v="0"/>
    <x v="58"/>
    <x v="3"/>
    <x v="9"/>
    <x v="4"/>
    <x v="60"/>
    <x v="60"/>
    <x v="60"/>
    <x v="60"/>
    <x v="58"/>
    <x v="60"/>
    <x v="4"/>
  </r>
  <r>
    <x v="61"/>
    <x v="0"/>
    <x v="59"/>
    <x v="0"/>
    <x v="3"/>
    <x v="8"/>
    <x v="61"/>
    <x v="61"/>
    <x v="61"/>
    <x v="61"/>
    <x v="59"/>
    <x v="61"/>
    <x v="1"/>
  </r>
  <r>
    <x v="62"/>
    <x v="2"/>
    <x v="31"/>
    <x v="0"/>
    <x v="0"/>
    <x v="0"/>
    <x v="62"/>
    <x v="62"/>
    <x v="62"/>
    <x v="38"/>
    <x v="60"/>
    <x v="62"/>
    <x v="0"/>
  </r>
  <r>
    <x v="63"/>
    <x v="2"/>
    <x v="60"/>
    <x v="2"/>
    <x v="4"/>
    <x v="4"/>
    <x v="63"/>
    <x v="63"/>
    <x v="63"/>
    <x v="62"/>
    <x v="61"/>
    <x v="63"/>
    <x v="2"/>
  </r>
  <r>
    <x v="64"/>
    <x v="0"/>
    <x v="61"/>
    <x v="1"/>
    <x v="0"/>
    <x v="0"/>
    <x v="64"/>
    <x v="64"/>
    <x v="64"/>
    <x v="63"/>
    <x v="62"/>
    <x v="64"/>
    <x v="2"/>
  </r>
  <r>
    <x v="65"/>
    <x v="3"/>
    <x v="62"/>
    <x v="1"/>
    <x v="6"/>
    <x v="6"/>
    <x v="65"/>
    <x v="65"/>
    <x v="65"/>
    <x v="64"/>
    <x v="63"/>
    <x v="65"/>
    <x v="3"/>
  </r>
  <r>
    <x v="66"/>
    <x v="1"/>
    <x v="63"/>
    <x v="2"/>
    <x v="6"/>
    <x v="6"/>
    <x v="66"/>
    <x v="66"/>
    <x v="29"/>
    <x v="65"/>
    <x v="64"/>
    <x v="66"/>
    <x v="3"/>
  </r>
  <r>
    <x v="67"/>
    <x v="2"/>
    <x v="64"/>
    <x v="2"/>
    <x v="1"/>
    <x v="1"/>
    <x v="67"/>
    <x v="67"/>
    <x v="66"/>
    <x v="66"/>
    <x v="65"/>
    <x v="67"/>
    <x v="2"/>
  </r>
  <r>
    <x v="68"/>
    <x v="1"/>
    <x v="65"/>
    <x v="1"/>
    <x v="6"/>
    <x v="6"/>
    <x v="68"/>
    <x v="68"/>
    <x v="67"/>
    <x v="67"/>
    <x v="66"/>
    <x v="68"/>
    <x v="4"/>
  </r>
  <r>
    <x v="69"/>
    <x v="3"/>
    <x v="66"/>
    <x v="1"/>
    <x v="7"/>
    <x v="7"/>
    <x v="69"/>
    <x v="69"/>
    <x v="68"/>
    <x v="68"/>
    <x v="67"/>
    <x v="69"/>
    <x v="0"/>
  </r>
  <r>
    <x v="70"/>
    <x v="3"/>
    <x v="67"/>
    <x v="3"/>
    <x v="3"/>
    <x v="3"/>
    <x v="70"/>
    <x v="70"/>
    <x v="69"/>
    <x v="69"/>
    <x v="68"/>
    <x v="70"/>
    <x v="3"/>
  </r>
  <r>
    <x v="71"/>
    <x v="3"/>
    <x v="68"/>
    <x v="3"/>
    <x v="3"/>
    <x v="8"/>
    <x v="71"/>
    <x v="71"/>
    <x v="70"/>
    <x v="59"/>
    <x v="69"/>
    <x v="71"/>
    <x v="4"/>
  </r>
  <r>
    <x v="72"/>
    <x v="2"/>
    <x v="69"/>
    <x v="2"/>
    <x v="0"/>
    <x v="0"/>
    <x v="72"/>
    <x v="72"/>
    <x v="71"/>
    <x v="55"/>
    <x v="70"/>
    <x v="72"/>
    <x v="1"/>
  </r>
  <r>
    <x v="73"/>
    <x v="3"/>
    <x v="70"/>
    <x v="3"/>
    <x v="3"/>
    <x v="3"/>
    <x v="73"/>
    <x v="73"/>
    <x v="72"/>
    <x v="70"/>
    <x v="71"/>
    <x v="73"/>
    <x v="3"/>
  </r>
  <r>
    <x v="74"/>
    <x v="2"/>
    <x v="71"/>
    <x v="0"/>
    <x v="2"/>
    <x v="2"/>
    <x v="74"/>
    <x v="72"/>
    <x v="73"/>
    <x v="71"/>
    <x v="72"/>
    <x v="74"/>
    <x v="4"/>
  </r>
  <r>
    <x v="75"/>
    <x v="3"/>
    <x v="72"/>
    <x v="3"/>
    <x v="4"/>
    <x v="4"/>
    <x v="75"/>
    <x v="74"/>
    <x v="74"/>
    <x v="72"/>
    <x v="73"/>
    <x v="75"/>
    <x v="4"/>
  </r>
  <r>
    <x v="76"/>
    <x v="1"/>
    <x v="27"/>
    <x v="3"/>
    <x v="7"/>
    <x v="7"/>
    <x v="76"/>
    <x v="75"/>
    <x v="75"/>
    <x v="73"/>
    <x v="74"/>
    <x v="76"/>
    <x v="0"/>
  </r>
  <r>
    <x v="77"/>
    <x v="1"/>
    <x v="52"/>
    <x v="0"/>
    <x v="5"/>
    <x v="5"/>
    <x v="77"/>
    <x v="76"/>
    <x v="76"/>
    <x v="74"/>
    <x v="75"/>
    <x v="77"/>
    <x v="0"/>
  </r>
  <r>
    <x v="78"/>
    <x v="0"/>
    <x v="73"/>
    <x v="2"/>
    <x v="10"/>
    <x v="10"/>
    <x v="78"/>
    <x v="77"/>
    <x v="77"/>
    <x v="75"/>
    <x v="76"/>
    <x v="78"/>
    <x v="1"/>
  </r>
  <r>
    <x v="79"/>
    <x v="1"/>
    <x v="49"/>
    <x v="0"/>
    <x v="0"/>
    <x v="0"/>
    <x v="79"/>
    <x v="78"/>
    <x v="78"/>
    <x v="76"/>
    <x v="77"/>
    <x v="79"/>
    <x v="4"/>
  </r>
  <r>
    <x v="80"/>
    <x v="0"/>
    <x v="74"/>
    <x v="3"/>
    <x v="3"/>
    <x v="3"/>
    <x v="80"/>
    <x v="79"/>
    <x v="79"/>
    <x v="77"/>
    <x v="78"/>
    <x v="80"/>
    <x v="4"/>
  </r>
  <r>
    <x v="81"/>
    <x v="1"/>
    <x v="75"/>
    <x v="2"/>
    <x v="5"/>
    <x v="5"/>
    <x v="81"/>
    <x v="80"/>
    <x v="80"/>
    <x v="78"/>
    <x v="79"/>
    <x v="81"/>
    <x v="0"/>
  </r>
  <r>
    <x v="82"/>
    <x v="2"/>
    <x v="76"/>
    <x v="3"/>
    <x v="4"/>
    <x v="4"/>
    <x v="82"/>
    <x v="81"/>
    <x v="81"/>
    <x v="79"/>
    <x v="80"/>
    <x v="82"/>
    <x v="3"/>
  </r>
  <r>
    <x v="83"/>
    <x v="1"/>
    <x v="77"/>
    <x v="0"/>
    <x v="1"/>
    <x v="1"/>
    <x v="83"/>
    <x v="82"/>
    <x v="82"/>
    <x v="80"/>
    <x v="81"/>
    <x v="83"/>
    <x v="3"/>
  </r>
  <r>
    <x v="84"/>
    <x v="0"/>
    <x v="35"/>
    <x v="0"/>
    <x v="5"/>
    <x v="5"/>
    <x v="84"/>
    <x v="83"/>
    <x v="83"/>
    <x v="81"/>
    <x v="82"/>
    <x v="84"/>
    <x v="2"/>
  </r>
  <r>
    <x v="85"/>
    <x v="0"/>
    <x v="78"/>
    <x v="3"/>
    <x v="7"/>
    <x v="7"/>
    <x v="85"/>
    <x v="59"/>
    <x v="84"/>
    <x v="82"/>
    <x v="83"/>
    <x v="85"/>
    <x v="0"/>
  </r>
  <r>
    <x v="86"/>
    <x v="3"/>
    <x v="79"/>
    <x v="1"/>
    <x v="7"/>
    <x v="7"/>
    <x v="86"/>
    <x v="84"/>
    <x v="85"/>
    <x v="83"/>
    <x v="84"/>
    <x v="86"/>
    <x v="2"/>
  </r>
  <r>
    <x v="87"/>
    <x v="2"/>
    <x v="80"/>
    <x v="1"/>
    <x v="1"/>
    <x v="1"/>
    <x v="87"/>
    <x v="53"/>
    <x v="86"/>
    <x v="84"/>
    <x v="85"/>
    <x v="87"/>
    <x v="0"/>
  </r>
  <r>
    <x v="88"/>
    <x v="1"/>
    <x v="81"/>
    <x v="0"/>
    <x v="10"/>
    <x v="10"/>
    <x v="88"/>
    <x v="85"/>
    <x v="87"/>
    <x v="85"/>
    <x v="86"/>
    <x v="88"/>
    <x v="1"/>
  </r>
  <r>
    <x v="89"/>
    <x v="3"/>
    <x v="82"/>
    <x v="0"/>
    <x v="3"/>
    <x v="8"/>
    <x v="89"/>
    <x v="86"/>
    <x v="66"/>
    <x v="86"/>
    <x v="87"/>
    <x v="89"/>
    <x v="4"/>
  </r>
  <r>
    <x v="90"/>
    <x v="1"/>
    <x v="83"/>
    <x v="1"/>
    <x v="5"/>
    <x v="5"/>
    <x v="90"/>
    <x v="87"/>
    <x v="88"/>
    <x v="87"/>
    <x v="88"/>
    <x v="90"/>
    <x v="1"/>
  </r>
  <r>
    <x v="91"/>
    <x v="1"/>
    <x v="54"/>
    <x v="1"/>
    <x v="1"/>
    <x v="1"/>
    <x v="91"/>
    <x v="67"/>
    <x v="89"/>
    <x v="88"/>
    <x v="89"/>
    <x v="91"/>
    <x v="0"/>
  </r>
  <r>
    <x v="92"/>
    <x v="3"/>
    <x v="84"/>
    <x v="3"/>
    <x v="7"/>
    <x v="7"/>
    <x v="92"/>
    <x v="88"/>
    <x v="90"/>
    <x v="89"/>
    <x v="90"/>
    <x v="92"/>
    <x v="4"/>
  </r>
  <r>
    <x v="93"/>
    <x v="3"/>
    <x v="72"/>
    <x v="3"/>
    <x v="7"/>
    <x v="7"/>
    <x v="93"/>
    <x v="89"/>
    <x v="91"/>
    <x v="90"/>
    <x v="91"/>
    <x v="93"/>
    <x v="3"/>
  </r>
  <r>
    <x v="94"/>
    <x v="3"/>
    <x v="85"/>
    <x v="1"/>
    <x v="3"/>
    <x v="3"/>
    <x v="94"/>
    <x v="90"/>
    <x v="92"/>
    <x v="91"/>
    <x v="92"/>
    <x v="94"/>
    <x v="3"/>
  </r>
  <r>
    <x v="95"/>
    <x v="3"/>
    <x v="86"/>
    <x v="3"/>
    <x v="6"/>
    <x v="6"/>
    <x v="95"/>
    <x v="91"/>
    <x v="93"/>
    <x v="92"/>
    <x v="93"/>
    <x v="95"/>
    <x v="2"/>
  </r>
  <r>
    <x v="96"/>
    <x v="3"/>
    <x v="87"/>
    <x v="3"/>
    <x v="10"/>
    <x v="10"/>
    <x v="96"/>
    <x v="92"/>
    <x v="94"/>
    <x v="93"/>
    <x v="94"/>
    <x v="96"/>
    <x v="0"/>
  </r>
  <r>
    <x v="97"/>
    <x v="1"/>
    <x v="88"/>
    <x v="2"/>
    <x v="5"/>
    <x v="5"/>
    <x v="97"/>
    <x v="93"/>
    <x v="95"/>
    <x v="94"/>
    <x v="95"/>
    <x v="97"/>
    <x v="0"/>
  </r>
  <r>
    <x v="98"/>
    <x v="3"/>
    <x v="89"/>
    <x v="3"/>
    <x v="5"/>
    <x v="5"/>
    <x v="98"/>
    <x v="94"/>
    <x v="96"/>
    <x v="95"/>
    <x v="96"/>
    <x v="98"/>
    <x v="3"/>
  </r>
  <r>
    <x v="99"/>
    <x v="2"/>
    <x v="90"/>
    <x v="0"/>
    <x v="4"/>
    <x v="4"/>
    <x v="99"/>
    <x v="95"/>
    <x v="97"/>
    <x v="96"/>
    <x v="97"/>
    <x v="99"/>
    <x v="1"/>
  </r>
  <r>
    <x v="100"/>
    <x v="0"/>
    <x v="91"/>
    <x v="3"/>
    <x v="1"/>
    <x v="1"/>
    <x v="100"/>
    <x v="96"/>
    <x v="98"/>
    <x v="97"/>
    <x v="98"/>
    <x v="100"/>
    <x v="4"/>
  </r>
  <r>
    <x v="101"/>
    <x v="3"/>
    <x v="92"/>
    <x v="3"/>
    <x v="4"/>
    <x v="4"/>
    <x v="101"/>
    <x v="33"/>
    <x v="99"/>
    <x v="98"/>
    <x v="99"/>
    <x v="101"/>
    <x v="1"/>
  </r>
  <r>
    <x v="102"/>
    <x v="3"/>
    <x v="93"/>
    <x v="1"/>
    <x v="1"/>
    <x v="1"/>
    <x v="102"/>
    <x v="97"/>
    <x v="100"/>
    <x v="99"/>
    <x v="100"/>
    <x v="102"/>
    <x v="1"/>
  </r>
  <r>
    <x v="103"/>
    <x v="1"/>
    <x v="94"/>
    <x v="0"/>
    <x v="2"/>
    <x v="2"/>
    <x v="103"/>
    <x v="98"/>
    <x v="101"/>
    <x v="100"/>
    <x v="101"/>
    <x v="103"/>
    <x v="3"/>
  </r>
  <r>
    <x v="104"/>
    <x v="3"/>
    <x v="95"/>
    <x v="3"/>
    <x v="7"/>
    <x v="7"/>
    <x v="104"/>
    <x v="99"/>
    <x v="102"/>
    <x v="101"/>
    <x v="102"/>
    <x v="104"/>
    <x v="3"/>
  </r>
  <r>
    <x v="105"/>
    <x v="3"/>
    <x v="96"/>
    <x v="3"/>
    <x v="6"/>
    <x v="6"/>
    <x v="105"/>
    <x v="100"/>
    <x v="103"/>
    <x v="102"/>
    <x v="103"/>
    <x v="105"/>
    <x v="3"/>
  </r>
  <r>
    <x v="106"/>
    <x v="3"/>
    <x v="97"/>
    <x v="2"/>
    <x v="3"/>
    <x v="3"/>
    <x v="106"/>
    <x v="101"/>
    <x v="104"/>
    <x v="103"/>
    <x v="104"/>
    <x v="106"/>
    <x v="2"/>
  </r>
  <r>
    <x v="107"/>
    <x v="1"/>
    <x v="98"/>
    <x v="3"/>
    <x v="6"/>
    <x v="6"/>
    <x v="107"/>
    <x v="102"/>
    <x v="105"/>
    <x v="104"/>
    <x v="105"/>
    <x v="107"/>
    <x v="1"/>
  </r>
  <r>
    <x v="108"/>
    <x v="3"/>
    <x v="99"/>
    <x v="3"/>
    <x v="6"/>
    <x v="6"/>
    <x v="108"/>
    <x v="103"/>
    <x v="106"/>
    <x v="105"/>
    <x v="106"/>
    <x v="108"/>
    <x v="0"/>
  </r>
  <r>
    <x v="109"/>
    <x v="0"/>
    <x v="100"/>
    <x v="2"/>
    <x v="6"/>
    <x v="6"/>
    <x v="109"/>
    <x v="104"/>
    <x v="107"/>
    <x v="106"/>
    <x v="107"/>
    <x v="109"/>
    <x v="4"/>
  </r>
  <r>
    <x v="110"/>
    <x v="1"/>
    <x v="101"/>
    <x v="1"/>
    <x v="4"/>
    <x v="4"/>
    <x v="110"/>
    <x v="105"/>
    <x v="108"/>
    <x v="107"/>
    <x v="108"/>
    <x v="110"/>
    <x v="2"/>
  </r>
  <r>
    <x v="111"/>
    <x v="0"/>
    <x v="102"/>
    <x v="3"/>
    <x v="1"/>
    <x v="1"/>
    <x v="111"/>
    <x v="106"/>
    <x v="6"/>
    <x v="108"/>
    <x v="109"/>
    <x v="111"/>
    <x v="0"/>
  </r>
  <r>
    <x v="112"/>
    <x v="1"/>
    <x v="103"/>
    <x v="2"/>
    <x v="8"/>
    <x v="9"/>
    <x v="112"/>
    <x v="107"/>
    <x v="109"/>
    <x v="109"/>
    <x v="110"/>
    <x v="112"/>
    <x v="1"/>
  </r>
  <r>
    <x v="113"/>
    <x v="3"/>
    <x v="104"/>
    <x v="0"/>
    <x v="2"/>
    <x v="2"/>
    <x v="113"/>
    <x v="108"/>
    <x v="110"/>
    <x v="110"/>
    <x v="111"/>
    <x v="113"/>
    <x v="3"/>
  </r>
  <r>
    <x v="114"/>
    <x v="0"/>
    <x v="105"/>
    <x v="1"/>
    <x v="0"/>
    <x v="0"/>
    <x v="114"/>
    <x v="109"/>
    <x v="111"/>
    <x v="111"/>
    <x v="112"/>
    <x v="114"/>
    <x v="1"/>
  </r>
  <r>
    <x v="115"/>
    <x v="1"/>
    <x v="106"/>
    <x v="0"/>
    <x v="6"/>
    <x v="6"/>
    <x v="115"/>
    <x v="110"/>
    <x v="112"/>
    <x v="112"/>
    <x v="113"/>
    <x v="115"/>
    <x v="4"/>
  </r>
  <r>
    <x v="116"/>
    <x v="2"/>
    <x v="107"/>
    <x v="0"/>
    <x v="3"/>
    <x v="8"/>
    <x v="116"/>
    <x v="111"/>
    <x v="113"/>
    <x v="113"/>
    <x v="114"/>
    <x v="116"/>
    <x v="2"/>
  </r>
  <r>
    <x v="117"/>
    <x v="3"/>
    <x v="107"/>
    <x v="2"/>
    <x v="4"/>
    <x v="4"/>
    <x v="117"/>
    <x v="112"/>
    <x v="114"/>
    <x v="114"/>
    <x v="115"/>
    <x v="117"/>
    <x v="2"/>
  </r>
  <r>
    <x v="118"/>
    <x v="1"/>
    <x v="108"/>
    <x v="3"/>
    <x v="10"/>
    <x v="10"/>
    <x v="118"/>
    <x v="51"/>
    <x v="115"/>
    <x v="115"/>
    <x v="116"/>
    <x v="118"/>
    <x v="4"/>
  </r>
  <r>
    <x v="119"/>
    <x v="2"/>
    <x v="54"/>
    <x v="2"/>
    <x v="3"/>
    <x v="3"/>
    <x v="119"/>
    <x v="113"/>
    <x v="116"/>
    <x v="116"/>
    <x v="117"/>
    <x v="119"/>
    <x v="0"/>
  </r>
  <r>
    <x v="120"/>
    <x v="1"/>
    <x v="100"/>
    <x v="2"/>
    <x v="0"/>
    <x v="0"/>
    <x v="120"/>
    <x v="114"/>
    <x v="117"/>
    <x v="117"/>
    <x v="118"/>
    <x v="120"/>
    <x v="0"/>
  </r>
  <r>
    <x v="121"/>
    <x v="2"/>
    <x v="109"/>
    <x v="2"/>
    <x v="8"/>
    <x v="9"/>
    <x v="121"/>
    <x v="115"/>
    <x v="11"/>
    <x v="118"/>
    <x v="119"/>
    <x v="121"/>
    <x v="2"/>
  </r>
  <r>
    <x v="122"/>
    <x v="3"/>
    <x v="95"/>
    <x v="2"/>
    <x v="3"/>
    <x v="8"/>
    <x v="122"/>
    <x v="116"/>
    <x v="25"/>
    <x v="119"/>
    <x v="120"/>
    <x v="122"/>
    <x v="2"/>
  </r>
  <r>
    <x v="123"/>
    <x v="0"/>
    <x v="110"/>
    <x v="1"/>
    <x v="8"/>
    <x v="9"/>
    <x v="123"/>
    <x v="117"/>
    <x v="118"/>
    <x v="120"/>
    <x v="121"/>
    <x v="123"/>
    <x v="3"/>
  </r>
  <r>
    <x v="124"/>
    <x v="2"/>
    <x v="111"/>
    <x v="3"/>
    <x v="0"/>
    <x v="0"/>
    <x v="124"/>
    <x v="118"/>
    <x v="119"/>
    <x v="121"/>
    <x v="122"/>
    <x v="124"/>
    <x v="0"/>
  </r>
  <r>
    <x v="125"/>
    <x v="1"/>
    <x v="61"/>
    <x v="0"/>
    <x v="6"/>
    <x v="6"/>
    <x v="125"/>
    <x v="119"/>
    <x v="120"/>
    <x v="76"/>
    <x v="123"/>
    <x v="125"/>
    <x v="4"/>
  </r>
  <r>
    <x v="126"/>
    <x v="3"/>
    <x v="78"/>
    <x v="0"/>
    <x v="3"/>
    <x v="8"/>
    <x v="126"/>
    <x v="120"/>
    <x v="121"/>
    <x v="122"/>
    <x v="124"/>
    <x v="126"/>
    <x v="0"/>
  </r>
  <r>
    <x v="127"/>
    <x v="2"/>
    <x v="112"/>
    <x v="3"/>
    <x v="8"/>
    <x v="9"/>
    <x v="127"/>
    <x v="121"/>
    <x v="122"/>
    <x v="123"/>
    <x v="125"/>
    <x v="127"/>
    <x v="3"/>
  </r>
  <r>
    <x v="128"/>
    <x v="1"/>
    <x v="11"/>
    <x v="0"/>
    <x v="3"/>
    <x v="3"/>
    <x v="128"/>
    <x v="7"/>
    <x v="123"/>
    <x v="124"/>
    <x v="126"/>
    <x v="128"/>
    <x v="2"/>
  </r>
  <r>
    <x v="129"/>
    <x v="1"/>
    <x v="113"/>
    <x v="3"/>
    <x v="1"/>
    <x v="1"/>
    <x v="129"/>
    <x v="122"/>
    <x v="124"/>
    <x v="125"/>
    <x v="127"/>
    <x v="129"/>
    <x v="2"/>
  </r>
  <r>
    <x v="130"/>
    <x v="1"/>
    <x v="54"/>
    <x v="0"/>
    <x v="7"/>
    <x v="7"/>
    <x v="130"/>
    <x v="123"/>
    <x v="125"/>
    <x v="126"/>
    <x v="128"/>
    <x v="130"/>
    <x v="3"/>
  </r>
  <r>
    <x v="131"/>
    <x v="2"/>
    <x v="27"/>
    <x v="2"/>
    <x v="1"/>
    <x v="1"/>
    <x v="131"/>
    <x v="124"/>
    <x v="126"/>
    <x v="127"/>
    <x v="129"/>
    <x v="131"/>
    <x v="4"/>
  </r>
  <r>
    <x v="132"/>
    <x v="2"/>
    <x v="114"/>
    <x v="0"/>
    <x v="0"/>
    <x v="0"/>
    <x v="132"/>
    <x v="125"/>
    <x v="127"/>
    <x v="128"/>
    <x v="130"/>
    <x v="132"/>
    <x v="2"/>
  </r>
  <r>
    <x v="133"/>
    <x v="2"/>
    <x v="115"/>
    <x v="3"/>
    <x v="4"/>
    <x v="4"/>
    <x v="133"/>
    <x v="31"/>
    <x v="76"/>
    <x v="129"/>
    <x v="131"/>
    <x v="133"/>
    <x v="1"/>
  </r>
  <r>
    <x v="134"/>
    <x v="0"/>
    <x v="116"/>
    <x v="3"/>
    <x v="7"/>
    <x v="7"/>
    <x v="134"/>
    <x v="126"/>
    <x v="128"/>
    <x v="107"/>
    <x v="132"/>
    <x v="134"/>
    <x v="2"/>
  </r>
  <r>
    <x v="135"/>
    <x v="2"/>
    <x v="117"/>
    <x v="3"/>
    <x v="2"/>
    <x v="2"/>
    <x v="135"/>
    <x v="127"/>
    <x v="101"/>
    <x v="130"/>
    <x v="133"/>
    <x v="135"/>
    <x v="1"/>
  </r>
  <r>
    <x v="136"/>
    <x v="2"/>
    <x v="31"/>
    <x v="3"/>
    <x v="3"/>
    <x v="3"/>
    <x v="136"/>
    <x v="128"/>
    <x v="129"/>
    <x v="131"/>
    <x v="134"/>
    <x v="136"/>
    <x v="3"/>
  </r>
  <r>
    <x v="137"/>
    <x v="2"/>
    <x v="63"/>
    <x v="3"/>
    <x v="2"/>
    <x v="2"/>
    <x v="137"/>
    <x v="129"/>
    <x v="130"/>
    <x v="132"/>
    <x v="135"/>
    <x v="137"/>
    <x v="3"/>
  </r>
  <r>
    <x v="138"/>
    <x v="0"/>
    <x v="118"/>
    <x v="1"/>
    <x v="3"/>
    <x v="8"/>
    <x v="138"/>
    <x v="95"/>
    <x v="131"/>
    <x v="133"/>
    <x v="136"/>
    <x v="138"/>
    <x v="2"/>
  </r>
  <r>
    <x v="139"/>
    <x v="2"/>
    <x v="119"/>
    <x v="1"/>
    <x v="5"/>
    <x v="5"/>
    <x v="139"/>
    <x v="130"/>
    <x v="132"/>
    <x v="134"/>
    <x v="137"/>
    <x v="139"/>
    <x v="0"/>
  </r>
  <r>
    <x v="140"/>
    <x v="1"/>
    <x v="120"/>
    <x v="0"/>
    <x v="7"/>
    <x v="7"/>
    <x v="140"/>
    <x v="131"/>
    <x v="133"/>
    <x v="135"/>
    <x v="138"/>
    <x v="140"/>
    <x v="1"/>
  </r>
  <r>
    <x v="141"/>
    <x v="2"/>
    <x v="121"/>
    <x v="3"/>
    <x v="2"/>
    <x v="2"/>
    <x v="141"/>
    <x v="132"/>
    <x v="134"/>
    <x v="136"/>
    <x v="139"/>
    <x v="141"/>
    <x v="4"/>
  </r>
  <r>
    <x v="142"/>
    <x v="1"/>
    <x v="109"/>
    <x v="0"/>
    <x v="2"/>
    <x v="2"/>
    <x v="142"/>
    <x v="133"/>
    <x v="135"/>
    <x v="137"/>
    <x v="140"/>
    <x v="142"/>
    <x v="2"/>
  </r>
  <r>
    <x v="143"/>
    <x v="1"/>
    <x v="70"/>
    <x v="3"/>
    <x v="8"/>
    <x v="9"/>
    <x v="143"/>
    <x v="134"/>
    <x v="136"/>
    <x v="138"/>
    <x v="141"/>
    <x v="143"/>
    <x v="4"/>
  </r>
  <r>
    <x v="144"/>
    <x v="1"/>
    <x v="3"/>
    <x v="3"/>
    <x v="1"/>
    <x v="1"/>
    <x v="144"/>
    <x v="135"/>
    <x v="137"/>
    <x v="139"/>
    <x v="142"/>
    <x v="144"/>
    <x v="2"/>
  </r>
  <r>
    <x v="145"/>
    <x v="0"/>
    <x v="122"/>
    <x v="1"/>
    <x v="8"/>
    <x v="9"/>
    <x v="145"/>
    <x v="136"/>
    <x v="138"/>
    <x v="140"/>
    <x v="143"/>
    <x v="145"/>
    <x v="0"/>
  </r>
  <r>
    <x v="146"/>
    <x v="0"/>
    <x v="54"/>
    <x v="1"/>
    <x v="7"/>
    <x v="7"/>
    <x v="146"/>
    <x v="137"/>
    <x v="139"/>
    <x v="141"/>
    <x v="144"/>
    <x v="146"/>
    <x v="0"/>
  </r>
  <r>
    <x v="147"/>
    <x v="0"/>
    <x v="55"/>
    <x v="2"/>
    <x v="7"/>
    <x v="7"/>
    <x v="147"/>
    <x v="45"/>
    <x v="140"/>
    <x v="142"/>
    <x v="145"/>
    <x v="147"/>
    <x v="0"/>
  </r>
  <r>
    <x v="148"/>
    <x v="2"/>
    <x v="123"/>
    <x v="1"/>
    <x v="0"/>
    <x v="0"/>
    <x v="148"/>
    <x v="113"/>
    <x v="141"/>
    <x v="143"/>
    <x v="146"/>
    <x v="148"/>
    <x v="0"/>
  </r>
  <r>
    <x v="149"/>
    <x v="1"/>
    <x v="124"/>
    <x v="2"/>
    <x v="8"/>
    <x v="9"/>
    <x v="149"/>
    <x v="138"/>
    <x v="142"/>
    <x v="144"/>
    <x v="147"/>
    <x v="149"/>
    <x v="3"/>
  </r>
  <r>
    <x v="150"/>
    <x v="0"/>
    <x v="62"/>
    <x v="2"/>
    <x v="9"/>
    <x v="4"/>
    <x v="150"/>
    <x v="139"/>
    <x v="143"/>
    <x v="145"/>
    <x v="148"/>
    <x v="150"/>
    <x v="3"/>
  </r>
  <r>
    <x v="151"/>
    <x v="0"/>
    <x v="125"/>
    <x v="2"/>
    <x v="10"/>
    <x v="10"/>
    <x v="151"/>
    <x v="140"/>
    <x v="39"/>
    <x v="146"/>
    <x v="149"/>
    <x v="151"/>
    <x v="1"/>
  </r>
  <r>
    <x v="152"/>
    <x v="2"/>
    <x v="126"/>
    <x v="2"/>
    <x v="1"/>
    <x v="1"/>
    <x v="152"/>
    <x v="141"/>
    <x v="75"/>
    <x v="147"/>
    <x v="150"/>
    <x v="152"/>
    <x v="4"/>
  </r>
  <r>
    <x v="153"/>
    <x v="0"/>
    <x v="127"/>
    <x v="2"/>
    <x v="7"/>
    <x v="7"/>
    <x v="153"/>
    <x v="142"/>
    <x v="144"/>
    <x v="148"/>
    <x v="151"/>
    <x v="153"/>
    <x v="2"/>
  </r>
  <r>
    <x v="154"/>
    <x v="2"/>
    <x v="128"/>
    <x v="0"/>
    <x v="0"/>
    <x v="0"/>
    <x v="154"/>
    <x v="143"/>
    <x v="145"/>
    <x v="149"/>
    <x v="152"/>
    <x v="154"/>
    <x v="2"/>
  </r>
  <r>
    <x v="155"/>
    <x v="3"/>
    <x v="129"/>
    <x v="1"/>
    <x v="5"/>
    <x v="5"/>
    <x v="155"/>
    <x v="144"/>
    <x v="146"/>
    <x v="150"/>
    <x v="153"/>
    <x v="155"/>
    <x v="3"/>
  </r>
  <r>
    <x v="156"/>
    <x v="0"/>
    <x v="130"/>
    <x v="2"/>
    <x v="8"/>
    <x v="9"/>
    <x v="156"/>
    <x v="145"/>
    <x v="147"/>
    <x v="151"/>
    <x v="154"/>
    <x v="156"/>
    <x v="2"/>
  </r>
  <r>
    <x v="157"/>
    <x v="3"/>
    <x v="131"/>
    <x v="3"/>
    <x v="1"/>
    <x v="1"/>
    <x v="157"/>
    <x v="146"/>
    <x v="73"/>
    <x v="152"/>
    <x v="155"/>
    <x v="157"/>
    <x v="3"/>
  </r>
  <r>
    <x v="158"/>
    <x v="2"/>
    <x v="132"/>
    <x v="1"/>
    <x v="5"/>
    <x v="5"/>
    <x v="158"/>
    <x v="147"/>
    <x v="148"/>
    <x v="153"/>
    <x v="156"/>
    <x v="158"/>
    <x v="1"/>
  </r>
  <r>
    <x v="159"/>
    <x v="1"/>
    <x v="133"/>
    <x v="1"/>
    <x v="8"/>
    <x v="9"/>
    <x v="159"/>
    <x v="148"/>
    <x v="91"/>
    <x v="154"/>
    <x v="157"/>
    <x v="159"/>
    <x v="4"/>
  </r>
  <r>
    <x v="160"/>
    <x v="0"/>
    <x v="134"/>
    <x v="2"/>
    <x v="2"/>
    <x v="2"/>
    <x v="160"/>
    <x v="149"/>
    <x v="149"/>
    <x v="155"/>
    <x v="158"/>
    <x v="160"/>
    <x v="1"/>
  </r>
  <r>
    <x v="161"/>
    <x v="2"/>
    <x v="135"/>
    <x v="0"/>
    <x v="5"/>
    <x v="5"/>
    <x v="161"/>
    <x v="150"/>
    <x v="150"/>
    <x v="156"/>
    <x v="159"/>
    <x v="161"/>
    <x v="0"/>
  </r>
  <r>
    <x v="162"/>
    <x v="1"/>
    <x v="136"/>
    <x v="2"/>
    <x v="0"/>
    <x v="0"/>
    <x v="162"/>
    <x v="151"/>
    <x v="151"/>
    <x v="157"/>
    <x v="160"/>
    <x v="162"/>
    <x v="0"/>
  </r>
  <r>
    <x v="163"/>
    <x v="1"/>
    <x v="21"/>
    <x v="0"/>
    <x v="1"/>
    <x v="1"/>
    <x v="163"/>
    <x v="152"/>
    <x v="152"/>
    <x v="158"/>
    <x v="161"/>
    <x v="163"/>
    <x v="0"/>
  </r>
  <r>
    <x v="164"/>
    <x v="3"/>
    <x v="137"/>
    <x v="3"/>
    <x v="6"/>
    <x v="6"/>
    <x v="164"/>
    <x v="153"/>
    <x v="153"/>
    <x v="159"/>
    <x v="162"/>
    <x v="164"/>
    <x v="1"/>
  </r>
  <r>
    <x v="165"/>
    <x v="2"/>
    <x v="138"/>
    <x v="1"/>
    <x v="3"/>
    <x v="8"/>
    <x v="165"/>
    <x v="154"/>
    <x v="116"/>
    <x v="160"/>
    <x v="163"/>
    <x v="165"/>
    <x v="2"/>
  </r>
  <r>
    <x v="166"/>
    <x v="1"/>
    <x v="116"/>
    <x v="3"/>
    <x v="3"/>
    <x v="8"/>
    <x v="166"/>
    <x v="155"/>
    <x v="154"/>
    <x v="161"/>
    <x v="164"/>
    <x v="166"/>
    <x v="4"/>
  </r>
  <r>
    <x v="167"/>
    <x v="0"/>
    <x v="139"/>
    <x v="0"/>
    <x v="1"/>
    <x v="1"/>
    <x v="167"/>
    <x v="156"/>
    <x v="155"/>
    <x v="162"/>
    <x v="165"/>
    <x v="167"/>
    <x v="0"/>
  </r>
  <r>
    <x v="168"/>
    <x v="0"/>
    <x v="140"/>
    <x v="0"/>
    <x v="5"/>
    <x v="5"/>
    <x v="168"/>
    <x v="157"/>
    <x v="78"/>
    <x v="163"/>
    <x v="166"/>
    <x v="168"/>
    <x v="0"/>
  </r>
  <r>
    <x v="169"/>
    <x v="3"/>
    <x v="141"/>
    <x v="3"/>
    <x v="8"/>
    <x v="9"/>
    <x v="169"/>
    <x v="158"/>
    <x v="62"/>
    <x v="164"/>
    <x v="167"/>
    <x v="169"/>
    <x v="0"/>
  </r>
  <r>
    <x v="170"/>
    <x v="1"/>
    <x v="142"/>
    <x v="0"/>
    <x v="0"/>
    <x v="0"/>
    <x v="170"/>
    <x v="159"/>
    <x v="156"/>
    <x v="165"/>
    <x v="168"/>
    <x v="170"/>
    <x v="4"/>
  </r>
  <r>
    <x v="171"/>
    <x v="2"/>
    <x v="143"/>
    <x v="3"/>
    <x v="10"/>
    <x v="10"/>
    <x v="171"/>
    <x v="160"/>
    <x v="53"/>
    <x v="166"/>
    <x v="169"/>
    <x v="171"/>
    <x v="0"/>
  </r>
  <r>
    <x v="172"/>
    <x v="0"/>
    <x v="144"/>
    <x v="1"/>
    <x v="3"/>
    <x v="8"/>
    <x v="172"/>
    <x v="161"/>
    <x v="157"/>
    <x v="167"/>
    <x v="170"/>
    <x v="172"/>
    <x v="4"/>
  </r>
  <r>
    <x v="173"/>
    <x v="1"/>
    <x v="56"/>
    <x v="3"/>
    <x v="0"/>
    <x v="0"/>
    <x v="173"/>
    <x v="162"/>
    <x v="158"/>
    <x v="168"/>
    <x v="171"/>
    <x v="173"/>
    <x v="0"/>
  </r>
  <r>
    <x v="174"/>
    <x v="1"/>
    <x v="145"/>
    <x v="1"/>
    <x v="3"/>
    <x v="8"/>
    <x v="174"/>
    <x v="163"/>
    <x v="159"/>
    <x v="169"/>
    <x v="172"/>
    <x v="174"/>
    <x v="1"/>
  </r>
  <r>
    <x v="175"/>
    <x v="3"/>
    <x v="146"/>
    <x v="3"/>
    <x v="2"/>
    <x v="2"/>
    <x v="175"/>
    <x v="164"/>
    <x v="160"/>
    <x v="170"/>
    <x v="173"/>
    <x v="175"/>
    <x v="1"/>
  </r>
  <r>
    <x v="176"/>
    <x v="0"/>
    <x v="147"/>
    <x v="0"/>
    <x v="8"/>
    <x v="9"/>
    <x v="176"/>
    <x v="165"/>
    <x v="161"/>
    <x v="171"/>
    <x v="174"/>
    <x v="176"/>
    <x v="4"/>
  </r>
  <r>
    <x v="177"/>
    <x v="0"/>
    <x v="148"/>
    <x v="3"/>
    <x v="2"/>
    <x v="2"/>
    <x v="177"/>
    <x v="166"/>
    <x v="162"/>
    <x v="172"/>
    <x v="175"/>
    <x v="177"/>
    <x v="1"/>
  </r>
  <r>
    <x v="178"/>
    <x v="2"/>
    <x v="119"/>
    <x v="0"/>
    <x v="3"/>
    <x v="8"/>
    <x v="178"/>
    <x v="167"/>
    <x v="163"/>
    <x v="173"/>
    <x v="176"/>
    <x v="178"/>
    <x v="4"/>
  </r>
  <r>
    <x v="179"/>
    <x v="0"/>
    <x v="149"/>
    <x v="3"/>
    <x v="6"/>
    <x v="6"/>
    <x v="179"/>
    <x v="168"/>
    <x v="164"/>
    <x v="174"/>
    <x v="177"/>
    <x v="179"/>
    <x v="1"/>
  </r>
  <r>
    <x v="180"/>
    <x v="2"/>
    <x v="150"/>
    <x v="3"/>
    <x v="6"/>
    <x v="6"/>
    <x v="180"/>
    <x v="144"/>
    <x v="165"/>
    <x v="175"/>
    <x v="178"/>
    <x v="180"/>
    <x v="1"/>
  </r>
  <r>
    <x v="181"/>
    <x v="0"/>
    <x v="31"/>
    <x v="2"/>
    <x v="2"/>
    <x v="2"/>
    <x v="181"/>
    <x v="169"/>
    <x v="166"/>
    <x v="176"/>
    <x v="179"/>
    <x v="181"/>
    <x v="4"/>
  </r>
  <r>
    <x v="182"/>
    <x v="3"/>
    <x v="151"/>
    <x v="0"/>
    <x v="6"/>
    <x v="6"/>
    <x v="182"/>
    <x v="170"/>
    <x v="53"/>
    <x v="177"/>
    <x v="180"/>
    <x v="182"/>
    <x v="2"/>
  </r>
  <r>
    <x v="183"/>
    <x v="0"/>
    <x v="152"/>
    <x v="2"/>
    <x v="3"/>
    <x v="8"/>
    <x v="183"/>
    <x v="171"/>
    <x v="73"/>
    <x v="178"/>
    <x v="181"/>
    <x v="183"/>
    <x v="1"/>
  </r>
  <r>
    <x v="184"/>
    <x v="2"/>
    <x v="153"/>
    <x v="0"/>
    <x v="1"/>
    <x v="1"/>
    <x v="184"/>
    <x v="172"/>
    <x v="167"/>
    <x v="179"/>
    <x v="182"/>
    <x v="184"/>
    <x v="0"/>
  </r>
  <r>
    <x v="185"/>
    <x v="2"/>
    <x v="133"/>
    <x v="2"/>
    <x v="2"/>
    <x v="2"/>
    <x v="185"/>
    <x v="173"/>
    <x v="26"/>
    <x v="180"/>
    <x v="183"/>
    <x v="185"/>
    <x v="2"/>
  </r>
  <r>
    <x v="186"/>
    <x v="3"/>
    <x v="154"/>
    <x v="1"/>
    <x v="10"/>
    <x v="10"/>
    <x v="186"/>
    <x v="174"/>
    <x v="129"/>
    <x v="181"/>
    <x v="184"/>
    <x v="186"/>
    <x v="4"/>
  </r>
  <r>
    <x v="187"/>
    <x v="0"/>
    <x v="79"/>
    <x v="3"/>
    <x v="10"/>
    <x v="10"/>
    <x v="187"/>
    <x v="175"/>
    <x v="94"/>
    <x v="182"/>
    <x v="185"/>
    <x v="187"/>
    <x v="2"/>
  </r>
  <r>
    <x v="188"/>
    <x v="0"/>
    <x v="155"/>
    <x v="0"/>
    <x v="4"/>
    <x v="4"/>
    <x v="188"/>
    <x v="176"/>
    <x v="168"/>
    <x v="183"/>
    <x v="186"/>
    <x v="188"/>
    <x v="3"/>
  </r>
  <r>
    <x v="189"/>
    <x v="3"/>
    <x v="156"/>
    <x v="0"/>
    <x v="5"/>
    <x v="5"/>
    <x v="189"/>
    <x v="177"/>
    <x v="169"/>
    <x v="12"/>
    <x v="187"/>
    <x v="189"/>
    <x v="3"/>
  </r>
  <r>
    <x v="190"/>
    <x v="0"/>
    <x v="157"/>
    <x v="3"/>
    <x v="8"/>
    <x v="9"/>
    <x v="190"/>
    <x v="178"/>
    <x v="170"/>
    <x v="184"/>
    <x v="188"/>
    <x v="190"/>
    <x v="1"/>
  </r>
  <r>
    <x v="191"/>
    <x v="0"/>
    <x v="158"/>
    <x v="0"/>
    <x v="6"/>
    <x v="6"/>
    <x v="191"/>
    <x v="179"/>
    <x v="171"/>
    <x v="185"/>
    <x v="189"/>
    <x v="191"/>
    <x v="1"/>
  </r>
  <r>
    <x v="192"/>
    <x v="2"/>
    <x v="159"/>
    <x v="0"/>
    <x v="6"/>
    <x v="6"/>
    <x v="192"/>
    <x v="180"/>
    <x v="172"/>
    <x v="186"/>
    <x v="190"/>
    <x v="192"/>
    <x v="0"/>
  </r>
  <r>
    <x v="193"/>
    <x v="0"/>
    <x v="109"/>
    <x v="2"/>
    <x v="5"/>
    <x v="5"/>
    <x v="193"/>
    <x v="181"/>
    <x v="169"/>
    <x v="187"/>
    <x v="191"/>
    <x v="193"/>
    <x v="2"/>
  </r>
  <r>
    <x v="194"/>
    <x v="0"/>
    <x v="160"/>
    <x v="0"/>
    <x v="7"/>
    <x v="7"/>
    <x v="194"/>
    <x v="182"/>
    <x v="173"/>
    <x v="188"/>
    <x v="192"/>
    <x v="194"/>
    <x v="3"/>
  </r>
  <r>
    <x v="195"/>
    <x v="3"/>
    <x v="47"/>
    <x v="1"/>
    <x v="9"/>
    <x v="4"/>
    <x v="195"/>
    <x v="183"/>
    <x v="174"/>
    <x v="189"/>
    <x v="193"/>
    <x v="195"/>
    <x v="1"/>
  </r>
  <r>
    <x v="196"/>
    <x v="3"/>
    <x v="129"/>
    <x v="1"/>
    <x v="2"/>
    <x v="2"/>
    <x v="196"/>
    <x v="184"/>
    <x v="175"/>
    <x v="190"/>
    <x v="194"/>
    <x v="196"/>
    <x v="2"/>
  </r>
  <r>
    <x v="197"/>
    <x v="1"/>
    <x v="50"/>
    <x v="3"/>
    <x v="3"/>
    <x v="3"/>
    <x v="197"/>
    <x v="185"/>
    <x v="176"/>
    <x v="191"/>
    <x v="195"/>
    <x v="197"/>
    <x v="1"/>
  </r>
  <r>
    <x v="198"/>
    <x v="2"/>
    <x v="59"/>
    <x v="0"/>
    <x v="6"/>
    <x v="6"/>
    <x v="198"/>
    <x v="186"/>
    <x v="177"/>
    <x v="87"/>
    <x v="196"/>
    <x v="198"/>
    <x v="1"/>
  </r>
  <r>
    <x v="199"/>
    <x v="0"/>
    <x v="161"/>
    <x v="3"/>
    <x v="8"/>
    <x v="9"/>
    <x v="199"/>
    <x v="187"/>
    <x v="178"/>
    <x v="192"/>
    <x v="197"/>
    <x v="199"/>
    <x v="3"/>
  </r>
  <r>
    <x v="200"/>
    <x v="0"/>
    <x v="162"/>
    <x v="1"/>
    <x v="4"/>
    <x v="4"/>
    <x v="200"/>
    <x v="188"/>
    <x v="179"/>
    <x v="193"/>
    <x v="198"/>
    <x v="200"/>
    <x v="3"/>
  </r>
  <r>
    <x v="201"/>
    <x v="1"/>
    <x v="69"/>
    <x v="0"/>
    <x v="10"/>
    <x v="10"/>
    <x v="201"/>
    <x v="28"/>
    <x v="180"/>
    <x v="194"/>
    <x v="199"/>
    <x v="201"/>
    <x v="1"/>
  </r>
  <r>
    <x v="202"/>
    <x v="0"/>
    <x v="163"/>
    <x v="0"/>
    <x v="6"/>
    <x v="6"/>
    <x v="202"/>
    <x v="189"/>
    <x v="181"/>
    <x v="195"/>
    <x v="200"/>
    <x v="202"/>
    <x v="4"/>
  </r>
  <r>
    <x v="203"/>
    <x v="2"/>
    <x v="73"/>
    <x v="3"/>
    <x v="4"/>
    <x v="4"/>
    <x v="203"/>
    <x v="190"/>
    <x v="182"/>
    <x v="196"/>
    <x v="201"/>
    <x v="203"/>
    <x v="1"/>
  </r>
  <r>
    <x v="204"/>
    <x v="1"/>
    <x v="81"/>
    <x v="1"/>
    <x v="3"/>
    <x v="8"/>
    <x v="204"/>
    <x v="191"/>
    <x v="183"/>
    <x v="27"/>
    <x v="202"/>
    <x v="204"/>
    <x v="1"/>
  </r>
  <r>
    <x v="205"/>
    <x v="2"/>
    <x v="6"/>
    <x v="0"/>
    <x v="3"/>
    <x v="8"/>
    <x v="205"/>
    <x v="188"/>
    <x v="184"/>
    <x v="197"/>
    <x v="203"/>
    <x v="205"/>
    <x v="0"/>
  </r>
  <r>
    <x v="206"/>
    <x v="1"/>
    <x v="164"/>
    <x v="3"/>
    <x v="9"/>
    <x v="4"/>
    <x v="206"/>
    <x v="192"/>
    <x v="185"/>
    <x v="198"/>
    <x v="204"/>
    <x v="206"/>
    <x v="0"/>
  </r>
  <r>
    <x v="207"/>
    <x v="1"/>
    <x v="6"/>
    <x v="1"/>
    <x v="1"/>
    <x v="1"/>
    <x v="207"/>
    <x v="193"/>
    <x v="186"/>
    <x v="199"/>
    <x v="205"/>
    <x v="207"/>
    <x v="0"/>
  </r>
  <r>
    <x v="208"/>
    <x v="3"/>
    <x v="165"/>
    <x v="3"/>
    <x v="3"/>
    <x v="3"/>
    <x v="208"/>
    <x v="194"/>
    <x v="187"/>
    <x v="200"/>
    <x v="206"/>
    <x v="208"/>
    <x v="4"/>
  </r>
  <r>
    <x v="209"/>
    <x v="2"/>
    <x v="166"/>
    <x v="2"/>
    <x v="7"/>
    <x v="7"/>
    <x v="209"/>
    <x v="123"/>
    <x v="188"/>
    <x v="185"/>
    <x v="207"/>
    <x v="209"/>
    <x v="4"/>
  </r>
  <r>
    <x v="210"/>
    <x v="0"/>
    <x v="83"/>
    <x v="0"/>
    <x v="9"/>
    <x v="4"/>
    <x v="210"/>
    <x v="195"/>
    <x v="189"/>
    <x v="201"/>
    <x v="208"/>
    <x v="210"/>
    <x v="1"/>
  </r>
  <r>
    <x v="211"/>
    <x v="0"/>
    <x v="68"/>
    <x v="2"/>
    <x v="0"/>
    <x v="0"/>
    <x v="211"/>
    <x v="196"/>
    <x v="190"/>
    <x v="202"/>
    <x v="209"/>
    <x v="211"/>
    <x v="0"/>
  </r>
  <r>
    <x v="212"/>
    <x v="2"/>
    <x v="167"/>
    <x v="1"/>
    <x v="7"/>
    <x v="7"/>
    <x v="212"/>
    <x v="197"/>
    <x v="20"/>
    <x v="203"/>
    <x v="210"/>
    <x v="212"/>
    <x v="4"/>
  </r>
  <r>
    <x v="213"/>
    <x v="0"/>
    <x v="0"/>
    <x v="2"/>
    <x v="2"/>
    <x v="2"/>
    <x v="213"/>
    <x v="198"/>
    <x v="191"/>
    <x v="204"/>
    <x v="211"/>
    <x v="213"/>
    <x v="3"/>
  </r>
  <r>
    <x v="214"/>
    <x v="0"/>
    <x v="90"/>
    <x v="2"/>
    <x v="8"/>
    <x v="9"/>
    <x v="214"/>
    <x v="199"/>
    <x v="192"/>
    <x v="205"/>
    <x v="212"/>
    <x v="214"/>
    <x v="1"/>
  </r>
  <r>
    <x v="215"/>
    <x v="2"/>
    <x v="100"/>
    <x v="1"/>
    <x v="0"/>
    <x v="0"/>
    <x v="215"/>
    <x v="200"/>
    <x v="87"/>
    <x v="206"/>
    <x v="213"/>
    <x v="215"/>
    <x v="2"/>
  </r>
  <r>
    <x v="216"/>
    <x v="1"/>
    <x v="92"/>
    <x v="3"/>
    <x v="0"/>
    <x v="0"/>
    <x v="216"/>
    <x v="12"/>
    <x v="193"/>
    <x v="86"/>
    <x v="214"/>
    <x v="216"/>
    <x v="1"/>
  </r>
  <r>
    <x v="217"/>
    <x v="2"/>
    <x v="168"/>
    <x v="2"/>
    <x v="9"/>
    <x v="4"/>
    <x v="217"/>
    <x v="43"/>
    <x v="194"/>
    <x v="207"/>
    <x v="215"/>
    <x v="217"/>
    <x v="2"/>
  </r>
  <r>
    <x v="218"/>
    <x v="1"/>
    <x v="57"/>
    <x v="3"/>
    <x v="5"/>
    <x v="5"/>
    <x v="218"/>
    <x v="201"/>
    <x v="34"/>
    <x v="208"/>
    <x v="216"/>
    <x v="218"/>
    <x v="0"/>
  </r>
  <r>
    <x v="219"/>
    <x v="0"/>
    <x v="169"/>
    <x v="2"/>
    <x v="1"/>
    <x v="1"/>
    <x v="219"/>
    <x v="37"/>
    <x v="144"/>
    <x v="147"/>
    <x v="217"/>
    <x v="219"/>
    <x v="2"/>
  </r>
  <r>
    <x v="220"/>
    <x v="0"/>
    <x v="94"/>
    <x v="3"/>
    <x v="5"/>
    <x v="5"/>
    <x v="220"/>
    <x v="186"/>
    <x v="69"/>
    <x v="209"/>
    <x v="218"/>
    <x v="220"/>
    <x v="0"/>
  </r>
  <r>
    <x v="221"/>
    <x v="0"/>
    <x v="170"/>
    <x v="1"/>
    <x v="9"/>
    <x v="4"/>
    <x v="221"/>
    <x v="202"/>
    <x v="195"/>
    <x v="210"/>
    <x v="219"/>
    <x v="221"/>
    <x v="3"/>
  </r>
  <r>
    <x v="222"/>
    <x v="3"/>
    <x v="139"/>
    <x v="2"/>
    <x v="2"/>
    <x v="2"/>
    <x v="222"/>
    <x v="203"/>
    <x v="104"/>
    <x v="211"/>
    <x v="220"/>
    <x v="222"/>
    <x v="2"/>
  </r>
  <r>
    <x v="223"/>
    <x v="1"/>
    <x v="14"/>
    <x v="1"/>
    <x v="10"/>
    <x v="10"/>
    <x v="223"/>
    <x v="204"/>
    <x v="35"/>
    <x v="115"/>
    <x v="221"/>
    <x v="223"/>
    <x v="1"/>
  </r>
  <r>
    <x v="224"/>
    <x v="3"/>
    <x v="171"/>
    <x v="2"/>
    <x v="6"/>
    <x v="6"/>
    <x v="224"/>
    <x v="205"/>
    <x v="172"/>
    <x v="212"/>
    <x v="222"/>
    <x v="224"/>
    <x v="0"/>
  </r>
  <r>
    <x v="225"/>
    <x v="3"/>
    <x v="20"/>
    <x v="1"/>
    <x v="6"/>
    <x v="6"/>
    <x v="225"/>
    <x v="112"/>
    <x v="196"/>
    <x v="213"/>
    <x v="223"/>
    <x v="225"/>
    <x v="1"/>
  </r>
  <r>
    <x v="226"/>
    <x v="2"/>
    <x v="172"/>
    <x v="1"/>
    <x v="1"/>
    <x v="1"/>
    <x v="226"/>
    <x v="206"/>
    <x v="197"/>
    <x v="214"/>
    <x v="224"/>
    <x v="226"/>
    <x v="4"/>
  </r>
  <r>
    <x v="227"/>
    <x v="3"/>
    <x v="173"/>
    <x v="2"/>
    <x v="2"/>
    <x v="2"/>
    <x v="227"/>
    <x v="207"/>
    <x v="193"/>
    <x v="215"/>
    <x v="225"/>
    <x v="227"/>
    <x v="0"/>
  </r>
  <r>
    <x v="228"/>
    <x v="2"/>
    <x v="48"/>
    <x v="2"/>
    <x v="1"/>
    <x v="1"/>
    <x v="228"/>
    <x v="208"/>
    <x v="30"/>
    <x v="216"/>
    <x v="226"/>
    <x v="228"/>
    <x v="2"/>
  </r>
  <r>
    <x v="229"/>
    <x v="2"/>
    <x v="119"/>
    <x v="2"/>
    <x v="4"/>
    <x v="4"/>
    <x v="229"/>
    <x v="209"/>
    <x v="198"/>
    <x v="217"/>
    <x v="227"/>
    <x v="229"/>
    <x v="0"/>
  </r>
  <r>
    <x v="230"/>
    <x v="3"/>
    <x v="24"/>
    <x v="0"/>
    <x v="5"/>
    <x v="5"/>
    <x v="230"/>
    <x v="210"/>
    <x v="199"/>
    <x v="218"/>
    <x v="228"/>
    <x v="230"/>
    <x v="1"/>
  </r>
  <r>
    <x v="231"/>
    <x v="1"/>
    <x v="174"/>
    <x v="3"/>
    <x v="6"/>
    <x v="6"/>
    <x v="231"/>
    <x v="211"/>
    <x v="200"/>
    <x v="219"/>
    <x v="229"/>
    <x v="231"/>
    <x v="3"/>
  </r>
  <r>
    <x v="232"/>
    <x v="1"/>
    <x v="65"/>
    <x v="0"/>
    <x v="0"/>
    <x v="0"/>
    <x v="232"/>
    <x v="212"/>
    <x v="201"/>
    <x v="220"/>
    <x v="230"/>
    <x v="232"/>
    <x v="0"/>
  </r>
  <r>
    <x v="233"/>
    <x v="1"/>
    <x v="175"/>
    <x v="0"/>
    <x v="5"/>
    <x v="5"/>
    <x v="39"/>
    <x v="213"/>
    <x v="117"/>
    <x v="221"/>
    <x v="231"/>
    <x v="233"/>
    <x v="2"/>
  </r>
  <r>
    <x v="234"/>
    <x v="1"/>
    <x v="154"/>
    <x v="1"/>
    <x v="3"/>
    <x v="3"/>
    <x v="233"/>
    <x v="214"/>
    <x v="202"/>
    <x v="222"/>
    <x v="232"/>
    <x v="234"/>
    <x v="4"/>
  </r>
  <r>
    <x v="235"/>
    <x v="1"/>
    <x v="17"/>
    <x v="2"/>
    <x v="8"/>
    <x v="9"/>
    <x v="234"/>
    <x v="215"/>
    <x v="203"/>
    <x v="223"/>
    <x v="233"/>
    <x v="235"/>
    <x v="3"/>
  </r>
  <r>
    <x v="236"/>
    <x v="3"/>
    <x v="129"/>
    <x v="3"/>
    <x v="2"/>
    <x v="2"/>
    <x v="235"/>
    <x v="216"/>
    <x v="110"/>
    <x v="96"/>
    <x v="234"/>
    <x v="236"/>
    <x v="4"/>
  </r>
  <r>
    <x v="237"/>
    <x v="3"/>
    <x v="176"/>
    <x v="1"/>
    <x v="7"/>
    <x v="7"/>
    <x v="236"/>
    <x v="217"/>
    <x v="204"/>
    <x v="224"/>
    <x v="235"/>
    <x v="237"/>
    <x v="0"/>
  </r>
  <r>
    <x v="238"/>
    <x v="0"/>
    <x v="28"/>
    <x v="0"/>
    <x v="1"/>
    <x v="1"/>
    <x v="237"/>
    <x v="218"/>
    <x v="205"/>
    <x v="225"/>
    <x v="236"/>
    <x v="238"/>
    <x v="1"/>
  </r>
  <r>
    <x v="239"/>
    <x v="1"/>
    <x v="32"/>
    <x v="2"/>
    <x v="5"/>
    <x v="5"/>
    <x v="238"/>
    <x v="219"/>
    <x v="206"/>
    <x v="226"/>
    <x v="237"/>
    <x v="239"/>
    <x v="1"/>
  </r>
  <r>
    <x v="240"/>
    <x v="3"/>
    <x v="177"/>
    <x v="1"/>
    <x v="8"/>
    <x v="9"/>
    <x v="239"/>
    <x v="220"/>
    <x v="38"/>
    <x v="227"/>
    <x v="238"/>
    <x v="240"/>
    <x v="2"/>
  </r>
  <r>
    <x v="241"/>
    <x v="0"/>
    <x v="33"/>
    <x v="2"/>
    <x v="5"/>
    <x v="5"/>
    <x v="240"/>
    <x v="221"/>
    <x v="207"/>
    <x v="228"/>
    <x v="239"/>
    <x v="241"/>
    <x v="1"/>
  </r>
  <r>
    <x v="242"/>
    <x v="1"/>
    <x v="178"/>
    <x v="1"/>
    <x v="7"/>
    <x v="7"/>
    <x v="241"/>
    <x v="222"/>
    <x v="154"/>
    <x v="229"/>
    <x v="240"/>
    <x v="242"/>
    <x v="3"/>
  </r>
  <r>
    <x v="243"/>
    <x v="2"/>
    <x v="38"/>
    <x v="2"/>
    <x v="8"/>
    <x v="9"/>
    <x v="242"/>
    <x v="223"/>
    <x v="208"/>
    <x v="230"/>
    <x v="241"/>
    <x v="243"/>
    <x v="1"/>
  </r>
  <r>
    <x v="244"/>
    <x v="0"/>
    <x v="179"/>
    <x v="0"/>
    <x v="3"/>
    <x v="3"/>
    <x v="243"/>
    <x v="224"/>
    <x v="88"/>
    <x v="231"/>
    <x v="242"/>
    <x v="244"/>
    <x v="2"/>
  </r>
  <r>
    <x v="245"/>
    <x v="3"/>
    <x v="180"/>
    <x v="3"/>
    <x v="7"/>
    <x v="7"/>
    <x v="244"/>
    <x v="67"/>
    <x v="209"/>
    <x v="39"/>
    <x v="243"/>
    <x v="245"/>
    <x v="0"/>
  </r>
  <r>
    <x v="246"/>
    <x v="2"/>
    <x v="181"/>
    <x v="0"/>
    <x v="9"/>
    <x v="4"/>
    <x v="245"/>
    <x v="225"/>
    <x v="200"/>
    <x v="232"/>
    <x v="244"/>
    <x v="246"/>
    <x v="0"/>
  </r>
  <r>
    <x v="247"/>
    <x v="2"/>
    <x v="39"/>
    <x v="3"/>
    <x v="3"/>
    <x v="8"/>
    <x v="246"/>
    <x v="226"/>
    <x v="0"/>
    <x v="227"/>
    <x v="245"/>
    <x v="247"/>
    <x v="1"/>
  </r>
  <r>
    <x v="248"/>
    <x v="2"/>
    <x v="182"/>
    <x v="2"/>
    <x v="9"/>
    <x v="4"/>
    <x v="247"/>
    <x v="227"/>
    <x v="210"/>
    <x v="233"/>
    <x v="246"/>
    <x v="248"/>
    <x v="4"/>
  </r>
  <r>
    <x v="249"/>
    <x v="0"/>
    <x v="56"/>
    <x v="1"/>
    <x v="6"/>
    <x v="6"/>
    <x v="248"/>
    <x v="228"/>
    <x v="211"/>
    <x v="234"/>
    <x v="247"/>
    <x v="249"/>
    <x v="0"/>
  </r>
  <r>
    <x v="250"/>
    <x v="3"/>
    <x v="40"/>
    <x v="0"/>
    <x v="5"/>
    <x v="5"/>
    <x v="249"/>
    <x v="229"/>
    <x v="212"/>
    <x v="89"/>
    <x v="248"/>
    <x v="250"/>
    <x v="1"/>
  </r>
  <r>
    <x v="251"/>
    <x v="2"/>
    <x v="141"/>
    <x v="3"/>
    <x v="3"/>
    <x v="8"/>
    <x v="250"/>
    <x v="230"/>
    <x v="213"/>
    <x v="235"/>
    <x v="249"/>
    <x v="251"/>
    <x v="2"/>
  </r>
  <r>
    <x v="252"/>
    <x v="1"/>
    <x v="42"/>
    <x v="0"/>
    <x v="9"/>
    <x v="4"/>
    <x v="251"/>
    <x v="91"/>
    <x v="214"/>
    <x v="236"/>
    <x v="250"/>
    <x v="252"/>
    <x v="1"/>
  </r>
  <r>
    <x v="253"/>
    <x v="2"/>
    <x v="183"/>
    <x v="3"/>
    <x v="3"/>
    <x v="8"/>
    <x v="252"/>
    <x v="231"/>
    <x v="215"/>
    <x v="237"/>
    <x v="251"/>
    <x v="253"/>
    <x v="0"/>
  </r>
  <r>
    <x v="254"/>
    <x v="2"/>
    <x v="184"/>
    <x v="0"/>
    <x v="10"/>
    <x v="10"/>
    <x v="253"/>
    <x v="232"/>
    <x v="216"/>
    <x v="238"/>
    <x v="252"/>
    <x v="254"/>
    <x v="2"/>
  </r>
  <r>
    <x v="255"/>
    <x v="0"/>
    <x v="44"/>
    <x v="3"/>
    <x v="5"/>
    <x v="5"/>
    <x v="254"/>
    <x v="233"/>
    <x v="217"/>
    <x v="239"/>
    <x v="253"/>
    <x v="255"/>
    <x v="1"/>
  </r>
  <r>
    <x v="256"/>
    <x v="0"/>
    <x v="110"/>
    <x v="3"/>
    <x v="3"/>
    <x v="8"/>
    <x v="255"/>
    <x v="234"/>
    <x v="113"/>
    <x v="240"/>
    <x v="254"/>
    <x v="256"/>
    <x v="3"/>
  </r>
  <r>
    <x v="257"/>
    <x v="3"/>
    <x v="185"/>
    <x v="2"/>
    <x v="0"/>
    <x v="0"/>
    <x v="256"/>
    <x v="235"/>
    <x v="101"/>
    <x v="241"/>
    <x v="255"/>
    <x v="257"/>
    <x v="2"/>
  </r>
  <r>
    <x v="258"/>
    <x v="1"/>
    <x v="186"/>
    <x v="3"/>
    <x v="1"/>
    <x v="1"/>
    <x v="257"/>
    <x v="236"/>
    <x v="180"/>
    <x v="242"/>
    <x v="256"/>
    <x v="258"/>
    <x v="3"/>
  </r>
  <r>
    <x v="259"/>
    <x v="0"/>
    <x v="187"/>
    <x v="2"/>
    <x v="1"/>
    <x v="1"/>
    <x v="258"/>
    <x v="237"/>
    <x v="218"/>
    <x v="243"/>
    <x v="257"/>
    <x v="259"/>
    <x v="4"/>
  </r>
  <r>
    <x v="260"/>
    <x v="2"/>
    <x v="188"/>
    <x v="3"/>
    <x v="0"/>
    <x v="0"/>
    <x v="259"/>
    <x v="238"/>
    <x v="219"/>
    <x v="12"/>
    <x v="258"/>
    <x v="260"/>
    <x v="2"/>
  </r>
  <r>
    <x v="261"/>
    <x v="3"/>
    <x v="177"/>
    <x v="1"/>
    <x v="8"/>
    <x v="9"/>
    <x v="260"/>
    <x v="239"/>
    <x v="220"/>
    <x v="244"/>
    <x v="259"/>
    <x v="261"/>
    <x v="3"/>
  </r>
  <r>
    <x v="262"/>
    <x v="2"/>
    <x v="189"/>
    <x v="1"/>
    <x v="4"/>
    <x v="4"/>
    <x v="261"/>
    <x v="240"/>
    <x v="211"/>
    <x v="209"/>
    <x v="260"/>
    <x v="262"/>
    <x v="0"/>
  </r>
  <r>
    <x v="263"/>
    <x v="2"/>
    <x v="190"/>
    <x v="1"/>
    <x v="8"/>
    <x v="9"/>
    <x v="262"/>
    <x v="241"/>
    <x v="221"/>
    <x v="245"/>
    <x v="261"/>
    <x v="263"/>
    <x v="0"/>
  </r>
  <r>
    <x v="264"/>
    <x v="0"/>
    <x v="191"/>
    <x v="3"/>
    <x v="7"/>
    <x v="7"/>
    <x v="263"/>
    <x v="242"/>
    <x v="135"/>
    <x v="246"/>
    <x v="262"/>
    <x v="264"/>
    <x v="4"/>
  </r>
  <r>
    <x v="265"/>
    <x v="3"/>
    <x v="192"/>
    <x v="2"/>
    <x v="7"/>
    <x v="7"/>
    <x v="264"/>
    <x v="243"/>
    <x v="222"/>
    <x v="247"/>
    <x v="263"/>
    <x v="265"/>
    <x v="2"/>
  </r>
  <r>
    <x v="266"/>
    <x v="1"/>
    <x v="156"/>
    <x v="2"/>
    <x v="3"/>
    <x v="8"/>
    <x v="265"/>
    <x v="244"/>
    <x v="223"/>
    <x v="248"/>
    <x v="264"/>
    <x v="266"/>
    <x v="2"/>
  </r>
  <r>
    <x v="267"/>
    <x v="1"/>
    <x v="193"/>
    <x v="3"/>
    <x v="9"/>
    <x v="4"/>
    <x v="266"/>
    <x v="245"/>
    <x v="224"/>
    <x v="249"/>
    <x v="265"/>
    <x v="267"/>
    <x v="2"/>
  </r>
  <r>
    <x v="268"/>
    <x v="0"/>
    <x v="194"/>
    <x v="1"/>
    <x v="9"/>
    <x v="4"/>
    <x v="267"/>
    <x v="246"/>
    <x v="198"/>
    <x v="250"/>
    <x v="266"/>
    <x v="268"/>
    <x v="4"/>
  </r>
  <r>
    <x v="269"/>
    <x v="0"/>
    <x v="162"/>
    <x v="1"/>
    <x v="1"/>
    <x v="1"/>
    <x v="268"/>
    <x v="247"/>
    <x v="225"/>
    <x v="251"/>
    <x v="267"/>
    <x v="269"/>
    <x v="2"/>
  </r>
  <r>
    <x v="270"/>
    <x v="3"/>
    <x v="195"/>
    <x v="2"/>
    <x v="2"/>
    <x v="2"/>
    <x v="269"/>
    <x v="248"/>
    <x v="96"/>
    <x v="252"/>
    <x v="268"/>
    <x v="270"/>
    <x v="0"/>
  </r>
  <r>
    <x v="271"/>
    <x v="1"/>
    <x v="196"/>
    <x v="1"/>
    <x v="8"/>
    <x v="9"/>
    <x v="270"/>
    <x v="249"/>
    <x v="181"/>
    <x v="253"/>
    <x v="269"/>
    <x v="271"/>
    <x v="3"/>
  </r>
  <r>
    <x v="272"/>
    <x v="1"/>
    <x v="197"/>
    <x v="0"/>
    <x v="10"/>
    <x v="10"/>
    <x v="271"/>
    <x v="250"/>
    <x v="226"/>
    <x v="254"/>
    <x v="270"/>
    <x v="272"/>
    <x v="0"/>
  </r>
  <r>
    <x v="273"/>
    <x v="1"/>
    <x v="126"/>
    <x v="2"/>
    <x v="5"/>
    <x v="5"/>
    <x v="272"/>
    <x v="251"/>
    <x v="53"/>
    <x v="255"/>
    <x v="271"/>
    <x v="273"/>
    <x v="0"/>
  </r>
  <r>
    <x v="274"/>
    <x v="2"/>
    <x v="185"/>
    <x v="1"/>
    <x v="6"/>
    <x v="6"/>
    <x v="48"/>
    <x v="252"/>
    <x v="162"/>
    <x v="256"/>
    <x v="272"/>
    <x v="274"/>
    <x v="3"/>
  </r>
  <r>
    <x v="275"/>
    <x v="1"/>
    <x v="198"/>
    <x v="2"/>
    <x v="3"/>
    <x v="3"/>
    <x v="273"/>
    <x v="253"/>
    <x v="227"/>
    <x v="257"/>
    <x v="273"/>
    <x v="275"/>
    <x v="0"/>
  </r>
  <r>
    <x v="276"/>
    <x v="2"/>
    <x v="110"/>
    <x v="0"/>
    <x v="9"/>
    <x v="4"/>
    <x v="274"/>
    <x v="254"/>
    <x v="108"/>
    <x v="258"/>
    <x v="274"/>
    <x v="276"/>
    <x v="4"/>
  </r>
  <r>
    <x v="277"/>
    <x v="3"/>
    <x v="199"/>
    <x v="2"/>
    <x v="5"/>
    <x v="5"/>
    <x v="275"/>
    <x v="255"/>
    <x v="228"/>
    <x v="259"/>
    <x v="275"/>
    <x v="277"/>
    <x v="3"/>
  </r>
  <r>
    <x v="278"/>
    <x v="2"/>
    <x v="67"/>
    <x v="2"/>
    <x v="3"/>
    <x v="3"/>
    <x v="276"/>
    <x v="256"/>
    <x v="229"/>
    <x v="260"/>
    <x v="276"/>
    <x v="278"/>
    <x v="0"/>
  </r>
  <r>
    <x v="279"/>
    <x v="3"/>
    <x v="47"/>
    <x v="2"/>
    <x v="5"/>
    <x v="5"/>
    <x v="277"/>
    <x v="257"/>
    <x v="230"/>
    <x v="261"/>
    <x v="277"/>
    <x v="279"/>
    <x v="1"/>
  </r>
  <r>
    <x v="280"/>
    <x v="1"/>
    <x v="200"/>
    <x v="2"/>
    <x v="3"/>
    <x v="8"/>
    <x v="278"/>
    <x v="148"/>
    <x v="5"/>
    <x v="262"/>
    <x v="278"/>
    <x v="280"/>
    <x v="0"/>
  </r>
  <r>
    <x v="281"/>
    <x v="1"/>
    <x v="201"/>
    <x v="0"/>
    <x v="3"/>
    <x v="3"/>
    <x v="279"/>
    <x v="258"/>
    <x v="231"/>
    <x v="263"/>
    <x v="279"/>
    <x v="281"/>
    <x v="4"/>
  </r>
  <r>
    <x v="282"/>
    <x v="3"/>
    <x v="202"/>
    <x v="3"/>
    <x v="6"/>
    <x v="6"/>
    <x v="280"/>
    <x v="259"/>
    <x v="232"/>
    <x v="264"/>
    <x v="280"/>
    <x v="282"/>
    <x v="2"/>
  </r>
  <r>
    <x v="283"/>
    <x v="0"/>
    <x v="26"/>
    <x v="2"/>
    <x v="5"/>
    <x v="5"/>
    <x v="281"/>
    <x v="260"/>
    <x v="233"/>
    <x v="265"/>
    <x v="281"/>
    <x v="283"/>
    <x v="0"/>
  </r>
  <r>
    <x v="284"/>
    <x v="3"/>
    <x v="182"/>
    <x v="2"/>
    <x v="0"/>
    <x v="0"/>
    <x v="282"/>
    <x v="261"/>
    <x v="234"/>
    <x v="266"/>
    <x v="282"/>
    <x v="284"/>
    <x v="2"/>
  </r>
  <r>
    <x v="285"/>
    <x v="0"/>
    <x v="50"/>
    <x v="1"/>
    <x v="6"/>
    <x v="6"/>
    <x v="283"/>
    <x v="232"/>
    <x v="235"/>
    <x v="267"/>
    <x v="283"/>
    <x v="285"/>
    <x v="1"/>
  </r>
  <r>
    <x v="286"/>
    <x v="2"/>
    <x v="160"/>
    <x v="2"/>
    <x v="3"/>
    <x v="3"/>
    <x v="284"/>
    <x v="128"/>
    <x v="236"/>
    <x v="268"/>
    <x v="284"/>
    <x v="286"/>
    <x v="0"/>
  </r>
  <r>
    <x v="287"/>
    <x v="2"/>
    <x v="203"/>
    <x v="1"/>
    <x v="6"/>
    <x v="6"/>
    <x v="11"/>
    <x v="262"/>
    <x v="237"/>
    <x v="269"/>
    <x v="285"/>
    <x v="287"/>
    <x v="3"/>
  </r>
  <r>
    <x v="288"/>
    <x v="2"/>
    <x v="116"/>
    <x v="3"/>
    <x v="5"/>
    <x v="5"/>
    <x v="285"/>
    <x v="263"/>
    <x v="238"/>
    <x v="270"/>
    <x v="286"/>
    <x v="288"/>
    <x v="2"/>
  </r>
  <r>
    <x v="289"/>
    <x v="1"/>
    <x v="59"/>
    <x v="0"/>
    <x v="4"/>
    <x v="4"/>
    <x v="286"/>
    <x v="245"/>
    <x v="239"/>
    <x v="271"/>
    <x v="287"/>
    <x v="289"/>
    <x v="1"/>
  </r>
  <r>
    <x v="290"/>
    <x v="2"/>
    <x v="22"/>
    <x v="0"/>
    <x v="5"/>
    <x v="5"/>
    <x v="287"/>
    <x v="264"/>
    <x v="157"/>
    <x v="272"/>
    <x v="288"/>
    <x v="290"/>
    <x v="3"/>
  </r>
  <r>
    <x v="291"/>
    <x v="0"/>
    <x v="204"/>
    <x v="3"/>
    <x v="5"/>
    <x v="5"/>
    <x v="288"/>
    <x v="265"/>
    <x v="218"/>
    <x v="111"/>
    <x v="289"/>
    <x v="291"/>
    <x v="3"/>
  </r>
  <r>
    <x v="292"/>
    <x v="2"/>
    <x v="205"/>
    <x v="0"/>
    <x v="3"/>
    <x v="8"/>
    <x v="289"/>
    <x v="233"/>
    <x v="240"/>
    <x v="273"/>
    <x v="290"/>
    <x v="292"/>
    <x v="3"/>
  </r>
  <r>
    <x v="293"/>
    <x v="3"/>
    <x v="206"/>
    <x v="3"/>
    <x v="8"/>
    <x v="9"/>
    <x v="290"/>
    <x v="266"/>
    <x v="241"/>
    <x v="274"/>
    <x v="291"/>
    <x v="293"/>
    <x v="3"/>
  </r>
  <r>
    <x v="294"/>
    <x v="3"/>
    <x v="207"/>
    <x v="3"/>
    <x v="0"/>
    <x v="0"/>
    <x v="291"/>
    <x v="267"/>
    <x v="106"/>
    <x v="275"/>
    <x v="292"/>
    <x v="294"/>
    <x v="0"/>
  </r>
  <r>
    <x v="295"/>
    <x v="1"/>
    <x v="208"/>
    <x v="3"/>
    <x v="10"/>
    <x v="10"/>
    <x v="292"/>
    <x v="268"/>
    <x v="242"/>
    <x v="276"/>
    <x v="293"/>
    <x v="295"/>
    <x v="0"/>
  </r>
  <r>
    <x v="296"/>
    <x v="3"/>
    <x v="209"/>
    <x v="0"/>
    <x v="9"/>
    <x v="4"/>
    <x v="293"/>
    <x v="269"/>
    <x v="243"/>
    <x v="277"/>
    <x v="294"/>
    <x v="296"/>
    <x v="0"/>
  </r>
  <r>
    <x v="297"/>
    <x v="0"/>
    <x v="83"/>
    <x v="1"/>
    <x v="7"/>
    <x v="7"/>
    <x v="294"/>
    <x v="8"/>
    <x v="200"/>
    <x v="278"/>
    <x v="295"/>
    <x v="297"/>
    <x v="1"/>
  </r>
  <r>
    <x v="298"/>
    <x v="2"/>
    <x v="90"/>
    <x v="3"/>
    <x v="8"/>
    <x v="9"/>
    <x v="295"/>
    <x v="156"/>
    <x v="244"/>
    <x v="279"/>
    <x v="296"/>
    <x v="298"/>
    <x v="1"/>
  </r>
  <r>
    <x v="299"/>
    <x v="1"/>
    <x v="92"/>
    <x v="2"/>
    <x v="7"/>
    <x v="7"/>
    <x v="106"/>
    <x v="270"/>
    <x v="245"/>
    <x v="280"/>
    <x v="297"/>
    <x v="299"/>
    <x v="1"/>
  </r>
  <r>
    <x v="300"/>
    <x v="4"/>
    <x v="210"/>
    <x v="4"/>
    <x v="11"/>
    <x v="11"/>
    <x v="296"/>
    <x v="271"/>
    <x v="246"/>
    <x v="281"/>
    <x v="298"/>
    <x v="300"/>
    <x v="5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200">
  <r>
    <x v="0"/>
    <x v="0"/>
    <x v="0"/>
    <x v="0"/>
    <x v="0"/>
    <x v="0"/>
    <x v="0"/>
  </r>
  <r>
    <x v="0"/>
    <x v="1"/>
    <x v="1"/>
    <x v="1"/>
    <x v="1"/>
    <x v="1"/>
    <x v="1"/>
  </r>
  <r>
    <x v="0"/>
    <x v="2"/>
    <x v="2"/>
    <x v="2"/>
    <x v="2"/>
    <x v="2"/>
    <x v="2"/>
  </r>
  <r>
    <x v="0"/>
    <x v="2"/>
    <x v="3"/>
    <x v="3"/>
    <x v="3"/>
    <x v="3"/>
    <x v="3"/>
  </r>
  <r>
    <x v="1"/>
    <x v="0"/>
    <x v="4"/>
    <x v="4"/>
    <x v="4"/>
    <x v="4"/>
    <x v="4"/>
  </r>
  <r>
    <x v="1"/>
    <x v="2"/>
    <x v="5"/>
    <x v="5"/>
    <x v="5"/>
    <x v="5"/>
    <x v="5"/>
  </r>
  <r>
    <x v="1"/>
    <x v="1"/>
    <x v="6"/>
    <x v="6"/>
    <x v="6"/>
    <x v="6"/>
    <x v="6"/>
  </r>
  <r>
    <x v="1"/>
    <x v="1"/>
    <x v="7"/>
    <x v="7"/>
    <x v="7"/>
    <x v="7"/>
    <x v="7"/>
  </r>
  <r>
    <x v="2"/>
    <x v="0"/>
    <x v="8"/>
    <x v="8"/>
    <x v="8"/>
    <x v="8"/>
    <x v="8"/>
  </r>
  <r>
    <x v="2"/>
    <x v="1"/>
    <x v="9"/>
    <x v="9"/>
    <x v="9"/>
    <x v="9"/>
    <x v="9"/>
  </r>
  <r>
    <x v="2"/>
    <x v="3"/>
    <x v="10"/>
    <x v="10"/>
    <x v="10"/>
    <x v="10"/>
    <x v="10"/>
  </r>
  <r>
    <x v="2"/>
    <x v="0"/>
    <x v="11"/>
    <x v="11"/>
    <x v="11"/>
    <x v="11"/>
    <x v="11"/>
  </r>
  <r>
    <x v="3"/>
    <x v="1"/>
    <x v="12"/>
    <x v="12"/>
    <x v="12"/>
    <x v="12"/>
    <x v="12"/>
  </r>
  <r>
    <x v="3"/>
    <x v="0"/>
    <x v="13"/>
    <x v="13"/>
    <x v="13"/>
    <x v="13"/>
    <x v="13"/>
  </r>
  <r>
    <x v="3"/>
    <x v="2"/>
    <x v="14"/>
    <x v="14"/>
    <x v="14"/>
    <x v="14"/>
    <x v="14"/>
  </r>
  <r>
    <x v="3"/>
    <x v="1"/>
    <x v="15"/>
    <x v="15"/>
    <x v="15"/>
    <x v="15"/>
    <x v="15"/>
  </r>
  <r>
    <x v="4"/>
    <x v="3"/>
    <x v="16"/>
    <x v="16"/>
    <x v="16"/>
    <x v="16"/>
    <x v="16"/>
  </r>
  <r>
    <x v="4"/>
    <x v="1"/>
    <x v="17"/>
    <x v="17"/>
    <x v="17"/>
    <x v="17"/>
    <x v="17"/>
  </r>
  <r>
    <x v="4"/>
    <x v="0"/>
    <x v="18"/>
    <x v="18"/>
    <x v="18"/>
    <x v="18"/>
    <x v="18"/>
  </r>
  <r>
    <x v="4"/>
    <x v="0"/>
    <x v="19"/>
    <x v="19"/>
    <x v="19"/>
    <x v="19"/>
    <x v="19"/>
  </r>
  <r>
    <x v="5"/>
    <x v="1"/>
    <x v="20"/>
    <x v="20"/>
    <x v="20"/>
    <x v="20"/>
    <x v="20"/>
  </r>
  <r>
    <x v="5"/>
    <x v="3"/>
    <x v="21"/>
    <x v="21"/>
    <x v="21"/>
    <x v="21"/>
    <x v="21"/>
  </r>
  <r>
    <x v="5"/>
    <x v="3"/>
    <x v="22"/>
    <x v="22"/>
    <x v="22"/>
    <x v="22"/>
    <x v="22"/>
  </r>
  <r>
    <x v="5"/>
    <x v="3"/>
    <x v="23"/>
    <x v="23"/>
    <x v="23"/>
    <x v="23"/>
    <x v="23"/>
  </r>
  <r>
    <x v="6"/>
    <x v="0"/>
    <x v="24"/>
    <x v="24"/>
    <x v="24"/>
    <x v="24"/>
    <x v="24"/>
  </r>
  <r>
    <x v="6"/>
    <x v="1"/>
    <x v="25"/>
    <x v="25"/>
    <x v="25"/>
    <x v="25"/>
    <x v="25"/>
  </r>
  <r>
    <x v="6"/>
    <x v="2"/>
    <x v="26"/>
    <x v="26"/>
    <x v="26"/>
    <x v="26"/>
    <x v="26"/>
  </r>
  <r>
    <x v="6"/>
    <x v="0"/>
    <x v="27"/>
    <x v="27"/>
    <x v="27"/>
    <x v="27"/>
    <x v="27"/>
  </r>
  <r>
    <x v="7"/>
    <x v="3"/>
    <x v="28"/>
    <x v="28"/>
    <x v="28"/>
    <x v="28"/>
    <x v="28"/>
  </r>
  <r>
    <x v="7"/>
    <x v="1"/>
    <x v="29"/>
    <x v="29"/>
    <x v="29"/>
    <x v="29"/>
    <x v="29"/>
  </r>
  <r>
    <x v="7"/>
    <x v="3"/>
    <x v="30"/>
    <x v="30"/>
    <x v="30"/>
    <x v="30"/>
    <x v="30"/>
  </r>
  <r>
    <x v="7"/>
    <x v="2"/>
    <x v="31"/>
    <x v="31"/>
    <x v="31"/>
    <x v="31"/>
    <x v="4"/>
  </r>
  <r>
    <x v="8"/>
    <x v="3"/>
    <x v="32"/>
    <x v="32"/>
    <x v="32"/>
    <x v="32"/>
    <x v="31"/>
  </r>
  <r>
    <x v="8"/>
    <x v="3"/>
    <x v="33"/>
    <x v="33"/>
    <x v="33"/>
    <x v="33"/>
    <x v="32"/>
  </r>
  <r>
    <x v="8"/>
    <x v="2"/>
    <x v="34"/>
    <x v="34"/>
    <x v="34"/>
    <x v="34"/>
    <x v="33"/>
  </r>
  <r>
    <x v="8"/>
    <x v="1"/>
    <x v="35"/>
    <x v="35"/>
    <x v="35"/>
    <x v="35"/>
    <x v="34"/>
  </r>
  <r>
    <x v="9"/>
    <x v="0"/>
    <x v="36"/>
    <x v="36"/>
    <x v="36"/>
    <x v="36"/>
    <x v="35"/>
  </r>
  <r>
    <x v="9"/>
    <x v="1"/>
    <x v="37"/>
    <x v="37"/>
    <x v="37"/>
    <x v="37"/>
    <x v="36"/>
  </r>
  <r>
    <x v="9"/>
    <x v="2"/>
    <x v="38"/>
    <x v="38"/>
    <x v="38"/>
    <x v="38"/>
    <x v="37"/>
  </r>
  <r>
    <x v="9"/>
    <x v="3"/>
    <x v="39"/>
    <x v="39"/>
    <x v="39"/>
    <x v="39"/>
    <x v="38"/>
  </r>
  <r>
    <x v="10"/>
    <x v="1"/>
    <x v="40"/>
    <x v="40"/>
    <x v="40"/>
    <x v="40"/>
    <x v="39"/>
  </r>
  <r>
    <x v="10"/>
    <x v="0"/>
    <x v="41"/>
    <x v="41"/>
    <x v="41"/>
    <x v="41"/>
    <x v="40"/>
  </r>
  <r>
    <x v="10"/>
    <x v="2"/>
    <x v="42"/>
    <x v="42"/>
    <x v="42"/>
    <x v="42"/>
    <x v="41"/>
  </r>
  <r>
    <x v="10"/>
    <x v="1"/>
    <x v="43"/>
    <x v="43"/>
    <x v="43"/>
    <x v="43"/>
    <x v="42"/>
  </r>
  <r>
    <x v="11"/>
    <x v="0"/>
    <x v="44"/>
    <x v="44"/>
    <x v="44"/>
    <x v="44"/>
    <x v="43"/>
  </r>
  <r>
    <x v="11"/>
    <x v="2"/>
    <x v="45"/>
    <x v="45"/>
    <x v="45"/>
    <x v="45"/>
    <x v="44"/>
  </r>
  <r>
    <x v="11"/>
    <x v="0"/>
    <x v="46"/>
    <x v="46"/>
    <x v="46"/>
    <x v="46"/>
    <x v="45"/>
  </r>
  <r>
    <x v="11"/>
    <x v="2"/>
    <x v="47"/>
    <x v="47"/>
    <x v="47"/>
    <x v="47"/>
    <x v="46"/>
  </r>
  <r>
    <x v="12"/>
    <x v="3"/>
    <x v="48"/>
    <x v="48"/>
    <x v="48"/>
    <x v="48"/>
    <x v="47"/>
  </r>
  <r>
    <x v="12"/>
    <x v="1"/>
    <x v="49"/>
    <x v="49"/>
    <x v="49"/>
    <x v="49"/>
    <x v="48"/>
  </r>
  <r>
    <x v="12"/>
    <x v="0"/>
    <x v="50"/>
    <x v="50"/>
    <x v="50"/>
    <x v="50"/>
    <x v="49"/>
  </r>
  <r>
    <x v="12"/>
    <x v="2"/>
    <x v="51"/>
    <x v="51"/>
    <x v="51"/>
    <x v="51"/>
    <x v="50"/>
  </r>
  <r>
    <x v="13"/>
    <x v="0"/>
    <x v="52"/>
    <x v="52"/>
    <x v="52"/>
    <x v="52"/>
    <x v="51"/>
  </r>
  <r>
    <x v="13"/>
    <x v="0"/>
    <x v="53"/>
    <x v="53"/>
    <x v="53"/>
    <x v="53"/>
    <x v="52"/>
  </r>
  <r>
    <x v="13"/>
    <x v="1"/>
    <x v="54"/>
    <x v="54"/>
    <x v="54"/>
    <x v="54"/>
    <x v="53"/>
  </r>
  <r>
    <x v="13"/>
    <x v="3"/>
    <x v="55"/>
    <x v="55"/>
    <x v="55"/>
    <x v="55"/>
    <x v="54"/>
  </r>
  <r>
    <x v="14"/>
    <x v="0"/>
    <x v="56"/>
    <x v="56"/>
    <x v="56"/>
    <x v="56"/>
    <x v="55"/>
  </r>
  <r>
    <x v="14"/>
    <x v="2"/>
    <x v="57"/>
    <x v="57"/>
    <x v="57"/>
    <x v="57"/>
    <x v="56"/>
  </r>
  <r>
    <x v="14"/>
    <x v="2"/>
    <x v="58"/>
    <x v="58"/>
    <x v="58"/>
    <x v="58"/>
    <x v="57"/>
  </r>
  <r>
    <x v="14"/>
    <x v="3"/>
    <x v="59"/>
    <x v="59"/>
    <x v="59"/>
    <x v="59"/>
    <x v="58"/>
  </r>
  <r>
    <x v="15"/>
    <x v="2"/>
    <x v="60"/>
    <x v="60"/>
    <x v="60"/>
    <x v="60"/>
    <x v="59"/>
  </r>
  <r>
    <x v="15"/>
    <x v="3"/>
    <x v="61"/>
    <x v="61"/>
    <x v="61"/>
    <x v="61"/>
    <x v="60"/>
  </r>
  <r>
    <x v="15"/>
    <x v="2"/>
    <x v="62"/>
    <x v="62"/>
    <x v="62"/>
    <x v="62"/>
    <x v="61"/>
  </r>
  <r>
    <x v="15"/>
    <x v="1"/>
    <x v="63"/>
    <x v="63"/>
    <x v="63"/>
    <x v="63"/>
    <x v="62"/>
  </r>
  <r>
    <x v="16"/>
    <x v="0"/>
    <x v="64"/>
    <x v="64"/>
    <x v="64"/>
    <x v="64"/>
    <x v="63"/>
  </r>
  <r>
    <x v="16"/>
    <x v="1"/>
    <x v="65"/>
    <x v="65"/>
    <x v="65"/>
    <x v="65"/>
    <x v="64"/>
  </r>
  <r>
    <x v="16"/>
    <x v="0"/>
    <x v="66"/>
    <x v="66"/>
    <x v="66"/>
    <x v="66"/>
    <x v="65"/>
  </r>
  <r>
    <x v="16"/>
    <x v="0"/>
    <x v="67"/>
    <x v="67"/>
    <x v="67"/>
    <x v="67"/>
    <x v="66"/>
  </r>
  <r>
    <x v="17"/>
    <x v="0"/>
    <x v="68"/>
    <x v="68"/>
    <x v="68"/>
    <x v="68"/>
    <x v="67"/>
  </r>
  <r>
    <x v="17"/>
    <x v="1"/>
    <x v="69"/>
    <x v="69"/>
    <x v="69"/>
    <x v="69"/>
    <x v="68"/>
  </r>
  <r>
    <x v="17"/>
    <x v="0"/>
    <x v="70"/>
    <x v="70"/>
    <x v="70"/>
    <x v="70"/>
    <x v="69"/>
  </r>
  <r>
    <x v="17"/>
    <x v="1"/>
    <x v="71"/>
    <x v="71"/>
    <x v="71"/>
    <x v="71"/>
    <x v="70"/>
  </r>
  <r>
    <x v="18"/>
    <x v="3"/>
    <x v="72"/>
    <x v="72"/>
    <x v="72"/>
    <x v="72"/>
    <x v="71"/>
  </r>
  <r>
    <x v="18"/>
    <x v="2"/>
    <x v="73"/>
    <x v="73"/>
    <x v="73"/>
    <x v="73"/>
    <x v="72"/>
  </r>
  <r>
    <x v="18"/>
    <x v="2"/>
    <x v="74"/>
    <x v="74"/>
    <x v="74"/>
    <x v="74"/>
    <x v="73"/>
  </r>
  <r>
    <x v="18"/>
    <x v="0"/>
    <x v="75"/>
    <x v="75"/>
    <x v="75"/>
    <x v="75"/>
    <x v="74"/>
  </r>
  <r>
    <x v="19"/>
    <x v="1"/>
    <x v="76"/>
    <x v="76"/>
    <x v="76"/>
    <x v="76"/>
    <x v="75"/>
  </r>
  <r>
    <x v="19"/>
    <x v="2"/>
    <x v="77"/>
    <x v="77"/>
    <x v="77"/>
    <x v="77"/>
    <x v="76"/>
  </r>
  <r>
    <x v="19"/>
    <x v="1"/>
    <x v="78"/>
    <x v="78"/>
    <x v="78"/>
    <x v="78"/>
    <x v="77"/>
  </r>
  <r>
    <x v="19"/>
    <x v="1"/>
    <x v="79"/>
    <x v="79"/>
    <x v="79"/>
    <x v="79"/>
    <x v="78"/>
  </r>
  <r>
    <x v="20"/>
    <x v="0"/>
    <x v="80"/>
    <x v="80"/>
    <x v="80"/>
    <x v="80"/>
    <x v="79"/>
  </r>
  <r>
    <x v="20"/>
    <x v="2"/>
    <x v="81"/>
    <x v="81"/>
    <x v="81"/>
    <x v="81"/>
    <x v="80"/>
  </r>
  <r>
    <x v="20"/>
    <x v="0"/>
    <x v="82"/>
    <x v="82"/>
    <x v="82"/>
    <x v="82"/>
    <x v="81"/>
  </r>
  <r>
    <x v="20"/>
    <x v="0"/>
    <x v="83"/>
    <x v="4"/>
    <x v="83"/>
    <x v="83"/>
    <x v="82"/>
  </r>
  <r>
    <x v="21"/>
    <x v="2"/>
    <x v="84"/>
    <x v="44"/>
    <x v="84"/>
    <x v="84"/>
    <x v="83"/>
  </r>
  <r>
    <x v="21"/>
    <x v="2"/>
    <x v="85"/>
    <x v="83"/>
    <x v="85"/>
    <x v="85"/>
    <x v="84"/>
  </r>
  <r>
    <x v="21"/>
    <x v="3"/>
    <x v="86"/>
    <x v="84"/>
    <x v="86"/>
    <x v="86"/>
    <x v="85"/>
  </r>
  <r>
    <x v="21"/>
    <x v="3"/>
    <x v="87"/>
    <x v="85"/>
    <x v="87"/>
    <x v="87"/>
    <x v="86"/>
  </r>
  <r>
    <x v="22"/>
    <x v="1"/>
    <x v="88"/>
    <x v="86"/>
    <x v="88"/>
    <x v="88"/>
    <x v="87"/>
  </r>
  <r>
    <x v="22"/>
    <x v="2"/>
    <x v="89"/>
    <x v="87"/>
    <x v="89"/>
    <x v="89"/>
    <x v="88"/>
  </r>
  <r>
    <x v="22"/>
    <x v="3"/>
    <x v="90"/>
    <x v="88"/>
    <x v="90"/>
    <x v="90"/>
    <x v="89"/>
  </r>
  <r>
    <x v="22"/>
    <x v="1"/>
    <x v="91"/>
    <x v="89"/>
    <x v="91"/>
    <x v="91"/>
    <x v="90"/>
  </r>
  <r>
    <x v="23"/>
    <x v="1"/>
    <x v="92"/>
    <x v="90"/>
    <x v="92"/>
    <x v="92"/>
    <x v="91"/>
  </r>
  <r>
    <x v="23"/>
    <x v="1"/>
    <x v="93"/>
    <x v="91"/>
    <x v="93"/>
    <x v="93"/>
    <x v="92"/>
  </r>
  <r>
    <x v="23"/>
    <x v="3"/>
    <x v="94"/>
    <x v="92"/>
    <x v="94"/>
    <x v="94"/>
    <x v="93"/>
  </r>
  <r>
    <x v="23"/>
    <x v="2"/>
    <x v="95"/>
    <x v="65"/>
    <x v="95"/>
    <x v="95"/>
    <x v="94"/>
  </r>
  <r>
    <x v="24"/>
    <x v="0"/>
    <x v="96"/>
    <x v="93"/>
    <x v="96"/>
    <x v="96"/>
    <x v="95"/>
  </r>
  <r>
    <x v="24"/>
    <x v="1"/>
    <x v="97"/>
    <x v="31"/>
    <x v="97"/>
    <x v="97"/>
    <x v="96"/>
  </r>
  <r>
    <x v="24"/>
    <x v="3"/>
    <x v="98"/>
    <x v="48"/>
    <x v="98"/>
    <x v="98"/>
    <x v="97"/>
  </r>
  <r>
    <x v="24"/>
    <x v="3"/>
    <x v="99"/>
    <x v="94"/>
    <x v="99"/>
    <x v="99"/>
    <x v="98"/>
  </r>
  <r>
    <x v="25"/>
    <x v="0"/>
    <x v="100"/>
    <x v="95"/>
    <x v="100"/>
    <x v="100"/>
    <x v="99"/>
  </r>
  <r>
    <x v="25"/>
    <x v="0"/>
    <x v="101"/>
    <x v="51"/>
    <x v="101"/>
    <x v="101"/>
    <x v="100"/>
  </r>
  <r>
    <x v="25"/>
    <x v="3"/>
    <x v="102"/>
    <x v="96"/>
    <x v="102"/>
    <x v="102"/>
    <x v="101"/>
  </r>
  <r>
    <x v="25"/>
    <x v="2"/>
    <x v="103"/>
    <x v="97"/>
    <x v="103"/>
    <x v="103"/>
    <x v="102"/>
  </r>
  <r>
    <x v="26"/>
    <x v="0"/>
    <x v="104"/>
    <x v="70"/>
    <x v="104"/>
    <x v="104"/>
    <x v="103"/>
  </r>
  <r>
    <x v="26"/>
    <x v="3"/>
    <x v="105"/>
    <x v="98"/>
    <x v="105"/>
    <x v="105"/>
    <x v="104"/>
  </r>
  <r>
    <x v="26"/>
    <x v="0"/>
    <x v="106"/>
    <x v="99"/>
    <x v="106"/>
    <x v="106"/>
    <x v="105"/>
  </r>
  <r>
    <x v="26"/>
    <x v="2"/>
    <x v="107"/>
    <x v="100"/>
    <x v="107"/>
    <x v="107"/>
    <x v="106"/>
  </r>
  <r>
    <x v="27"/>
    <x v="1"/>
    <x v="108"/>
    <x v="101"/>
    <x v="108"/>
    <x v="108"/>
    <x v="107"/>
  </r>
  <r>
    <x v="27"/>
    <x v="0"/>
    <x v="109"/>
    <x v="102"/>
    <x v="109"/>
    <x v="109"/>
    <x v="108"/>
  </r>
  <r>
    <x v="27"/>
    <x v="2"/>
    <x v="110"/>
    <x v="103"/>
    <x v="110"/>
    <x v="110"/>
    <x v="109"/>
  </r>
  <r>
    <x v="27"/>
    <x v="3"/>
    <x v="111"/>
    <x v="104"/>
    <x v="111"/>
    <x v="111"/>
    <x v="110"/>
  </r>
  <r>
    <x v="28"/>
    <x v="0"/>
    <x v="112"/>
    <x v="105"/>
    <x v="112"/>
    <x v="112"/>
    <x v="111"/>
  </r>
  <r>
    <x v="28"/>
    <x v="0"/>
    <x v="113"/>
    <x v="106"/>
    <x v="113"/>
    <x v="113"/>
    <x v="112"/>
  </r>
  <r>
    <x v="28"/>
    <x v="3"/>
    <x v="114"/>
    <x v="107"/>
    <x v="114"/>
    <x v="114"/>
    <x v="113"/>
  </r>
  <r>
    <x v="28"/>
    <x v="1"/>
    <x v="115"/>
    <x v="108"/>
    <x v="115"/>
    <x v="115"/>
    <x v="114"/>
  </r>
  <r>
    <x v="29"/>
    <x v="3"/>
    <x v="116"/>
    <x v="109"/>
    <x v="116"/>
    <x v="116"/>
    <x v="115"/>
  </r>
  <r>
    <x v="29"/>
    <x v="0"/>
    <x v="117"/>
    <x v="110"/>
    <x v="117"/>
    <x v="117"/>
    <x v="116"/>
  </r>
  <r>
    <x v="29"/>
    <x v="3"/>
    <x v="118"/>
    <x v="111"/>
    <x v="118"/>
    <x v="118"/>
    <x v="117"/>
  </r>
  <r>
    <x v="29"/>
    <x v="2"/>
    <x v="119"/>
    <x v="112"/>
    <x v="119"/>
    <x v="119"/>
    <x v="118"/>
  </r>
  <r>
    <x v="30"/>
    <x v="3"/>
    <x v="87"/>
    <x v="113"/>
    <x v="120"/>
    <x v="120"/>
    <x v="119"/>
  </r>
  <r>
    <x v="30"/>
    <x v="0"/>
    <x v="120"/>
    <x v="114"/>
    <x v="121"/>
    <x v="121"/>
    <x v="120"/>
  </r>
  <r>
    <x v="30"/>
    <x v="3"/>
    <x v="121"/>
    <x v="115"/>
    <x v="122"/>
    <x v="122"/>
    <x v="121"/>
  </r>
  <r>
    <x v="30"/>
    <x v="1"/>
    <x v="122"/>
    <x v="116"/>
    <x v="123"/>
    <x v="123"/>
    <x v="122"/>
  </r>
  <r>
    <x v="31"/>
    <x v="3"/>
    <x v="123"/>
    <x v="117"/>
    <x v="124"/>
    <x v="124"/>
    <x v="123"/>
  </r>
  <r>
    <x v="31"/>
    <x v="1"/>
    <x v="124"/>
    <x v="118"/>
    <x v="125"/>
    <x v="125"/>
    <x v="124"/>
  </r>
  <r>
    <x v="31"/>
    <x v="2"/>
    <x v="125"/>
    <x v="119"/>
    <x v="126"/>
    <x v="126"/>
    <x v="125"/>
  </r>
  <r>
    <x v="31"/>
    <x v="1"/>
    <x v="126"/>
    <x v="120"/>
    <x v="127"/>
    <x v="127"/>
    <x v="126"/>
  </r>
  <r>
    <x v="32"/>
    <x v="3"/>
    <x v="127"/>
    <x v="121"/>
    <x v="128"/>
    <x v="128"/>
    <x v="127"/>
  </r>
  <r>
    <x v="32"/>
    <x v="0"/>
    <x v="128"/>
    <x v="18"/>
    <x v="129"/>
    <x v="129"/>
    <x v="128"/>
  </r>
  <r>
    <x v="32"/>
    <x v="1"/>
    <x v="129"/>
    <x v="122"/>
    <x v="130"/>
    <x v="130"/>
    <x v="129"/>
  </r>
  <r>
    <x v="32"/>
    <x v="2"/>
    <x v="130"/>
    <x v="123"/>
    <x v="131"/>
    <x v="131"/>
    <x v="130"/>
  </r>
  <r>
    <x v="33"/>
    <x v="1"/>
    <x v="131"/>
    <x v="124"/>
    <x v="132"/>
    <x v="132"/>
    <x v="131"/>
  </r>
  <r>
    <x v="33"/>
    <x v="1"/>
    <x v="132"/>
    <x v="125"/>
    <x v="133"/>
    <x v="133"/>
    <x v="132"/>
  </r>
  <r>
    <x v="33"/>
    <x v="1"/>
    <x v="133"/>
    <x v="92"/>
    <x v="134"/>
    <x v="134"/>
    <x v="133"/>
  </r>
  <r>
    <x v="33"/>
    <x v="2"/>
    <x v="28"/>
    <x v="126"/>
    <x v="135"/>
    <x v="135"/>
    <x v="134"/>
  </r>
  <r>
    <x v="34"/>
    <x v="3"/>
    <x v="134"/>
    <x v="127"/>
    <x v="136"/>
    <x v="136"/>
    <x v="135"/>
  </r>
  <r>
    <x v="34"/>
    <x v="1"/>
    <x v="135"/>
    <x v="128"/>
    <x v="137"/>
    <x v="137"/>
    <x v="136"/>
  </r>
  <r>
    <x v="34"/>
    <x v="1"/>
    <x v="136"/>
    <x v="129"/>
    <x v="138"/>
    <x v="138"/>
    <x v="137"/>
  </r>
  <r>
    <x v="34"/>
    <x v="0"/>
    <x v="137"/>
    <x v="130"/>
    <x v="139"/>
    <x v="139"/>
    <x v="138"/>
  </r>
  <r>
    <x v="35"/>
    <x v="2"/>
    <x v="138"/>
    <x v="131"/>
    <x v="140"/>
    <x v="140"/>
    <x v="139"/>
  </r>
  <r>
    <x v="35"/>
    <x v="1"/>
    <x v="139"/>
    <x v="132"/>
    <x v="141"/>
    <x v="141"/>
    <x v="140"/>
  </r>
  <r>
    <x v="35"/>
    <x v="2"/>
    <x v="140"/>
    <x v="133"/>
    <x v="142"/>
    <x v="142"/>
    <x v="141"/>
  </r>
  <r>
    <x v="35"/>
    <x v="1"/>
    <x v="141"/>
    <x v="134"/>
    <x v="143"/>
    <x v="143"/>
    <x v="142"/>
  </r>
  <r>
    <x v="36"/>
    <x v="3"/>
    <x v="142"/>
    <x v="6"/>
    <x v="144"/>
    <x v="144"/>
    <x v="143"/>
  </r>
  <r>
    <x v="36"/>
    <x v="3"/>
    <x v="143"/>
    <x v="58"/>
    <x v="145"/>
    <x v="145"/>
    <x v="144"/>
  </r>
  <r>
    <x v="36"/>
    <x v="1"/>
    <x v="144"/>
    <x v="135"/>
    <x v="146"/>
    <x v="146"/>
    <x v="145"/>
  </r>
  <r>
    <x v="36"/>
    <x v="3"/>
    <x v="145"/>
    <x v="136"/>
    <x v="147"/>
    <x v="147"/>
    <x v="146"/>
  </r>
  <r>
    <x v="37"/>
    <x v="1"/>
    <x v="146"/>
    <x v="137"/>
    <x v="148"/>
    <x v="148"/>
    <x v="147"/>
  </r>
  <r>
    <x v="37"/>
    <x v="3"/>
    <x v="147"/>
    <x v="138"/>
    <x v="149"/>
    <x v="149"/>
    <x v="148"/>
  </r>
  <r>
    <x v="37"/>
    <x v="0"/>
    <x v="148"/>
    <x v="139"/>
    <x v="150"/>
    <x v="150"/>
    <x v="149"/>
  </r>
  <r>
    <x v="37"/>
    <x v="0"/>
    <x v="149"/>
    <x v="140"/>
    <x v="151"/>
    <x v="151"/>
    <x v="150"/>
  </r>
  <r>
    <x v="38"/>
    <x v="0"/>
    <x v="150"/>
    <x v="141"/>
    <x v="152"/>
    <x v="152"/>
    <x v="151"/>
  </r>
  <r>
    <x v="38"/>
    <x v="2"/>
    <x v="151"/>
    <x v="142"/>
    <x v="153"/>
    <x v="153"/>
    <x v="152"/>
  </r>
  <r>
    <x v="38"/>
    <x v="2"/>
    <x v="152"/>
    <x v="143"/>
    <x v="154"/>
    <x v="154"/>
    <x v="153"/>
  </r>
  <r>
    <x v="38"/>
    <x v="0"/>
    <x v="153"/>
    <x v="144"/>
    <x v="155"/>
    <x v="155"/>
    <x v="154"/>
  </r>
  <r>
    <x v="39"/>
    <x v="2"/>
    <x v="154"/>
    <x v="145"/>
    <x v="156"/>
    <x v="156"/>
    <x v="155"/>
  </r>
  <r>
    <x v="39"/>
    <x v="3"/>
    <x v="155"/>
    <x v="146"/>
    <x v="157"/>
    <x v="157"/>
    <x v="156"/>
  </r>
  <r>
    <x v="39"/>
    <x v="1"/>
    <x v="156"/>
    <x v="147"/>
    <x v="158"/>
    <x v="158"/>
    <x v="157"/>
  </r>
  <r>
    <x v="39"/>
    <x v="1"/>
    <x v="157"/>
    <x v="148"/>
    <x v="159"/>
    <x v="159"/>
    <x v="158"/>
  </r>
  <r>
    <x v="40"/>
    <x v="1"/>
    <x v="158"/>
    <x v="149"/>
    <x v="160"/>
    <x v="160"/>
    <x v="159"/>
  </r>
  <r>
    <x v="40"/>
    <x v="0"/>
    <x v="159"/>
    <x v="150"/>
    <x v="161"/>
    <x v="161"/>
    <x v="160"/>
  </r>
  <r>
    <x v="40"/>
    <x v="2"/>
    <x v="160"/>
    <x v="151"/>
    <x v="162"/>
    <x v="162"/>
    <x v="161"/>
  </r>
  <r>
    <x v="40"/>
    <x v="3"/>
    <x v="161"/>
    <x v="152"/>
    <x v="163"/>
    <x v="163"/>
    <x v="162"/>
  </r>
  <r>
    <x v="41"/>
    <x v="3"/>
    <x v="162"/>
    <x v="153"/>
    <x v="164"/>
    <x v="164"/>
    <x v="163"/>
  </r>
  <r>
    <x v="41"/>
    <x v="0"/>
    <x v="163"/>
    <x v="154"/>
    <x v="165"/>
    <x v="165"/>
    <x v="164"/>
  </r>
  <r>
    <x v="41"/>
    <x v="3"/>
    <x v="164"/>
    <x v="77"/>
    <x v="166"/>
    <x v="166"/>
    <x v="165"/>
  </r>
  <r>
    <x v="41"/>
    <x v="3"/>
    <x v="165"/>
    <x v="7"/>
    <x v="167"/>
    <x v="167"/>
    <x v="166"/>
  </r>
  <r>
    <x v="42"/>
    <x v="3"/>
    <x v="166"/>
    <x v="155"/>
    <x v="168"/>
    <x v="168"/>
    <x v="167"/>
  </r>
  <r>
    <x v="42"/>
    <x v="3"/>
    <x v="167"/>
    <x v="156"/>
    <x v="169"/>
    <x v="169"/>
    <x v="168"/>
  </r>
  <r>
    <x v="42"/>
    <x v="2"/>
    <x v="168"/>
    <x v="157"/>
    <x v="170"/>
    <x v="170"/>
    <x v="169"/>
  </r>
  <r>
    <x v="42"/>
    <x v="3"/>
    <x v="169"/>
    <x v="158"/>
    <x v="171"/>
    <x v="171"/>
    <x v="170"/>
  </r>
  <r>
    <x v="43"/>
    <x v="1"/>
    <x v="170"/>
    <x v="159"/>
    <x v="172"/>
    <x v="172"/>
    <x v="171"/>
  </r>
  <r>
    <x v="43"/>
    <x v="0"/>
    <x v="171"/>
    <x v="160"/>
    <x v="173"/>
    <x v="173"/>
    <x v="172"/>
  </r>
  <r>
    <x v="43"/>
    <x v="2"/>
    <x v="172"/>
    <x v="89"/>
    <x v="174"/>
    <x v="174"/>
    <x v="173"/>
  </r>
  <r>
    <x v="43"/>
    <x v="3"/>
    <x v="173"/>
    <x v="161"/>
    <x v="175"/>
    <x v="175"/>
    <x v="174"/>
  </r>
  <r>
    <x v="44"/>
    <x v="2"/>
    <x v="174"/>
    <x v="128"/>
    <x v="176"/>
    <x v="176"/>
    <x v="175"/>
  </r>
  <r>
    <x v="44"/>
    <x v="3"/>
    <x v="175"/>
    <x v="162"/>
    <x v="177"/>
    <x v="177"/>
    <x v="176"/>
  </r>
  <r>
    <x v="44"/>
    <x v="1"/>
    <x v="176"/>
    <x v="163"/>
    <x v="178"/>
    <x v="178"/>
    <x v="177"/>
  </r>
  <r>
    <x v="44"/>
    <x v="0"/>
    <x v="177"/>
    <x v="164"/>
    <x v="179"/>
    <x v="179"/>
    <x v="178"/>
  </r>
  <r>
    <x v="45"/>
    <x v="3"/>
    <x v="178"/>
    <x v="165"/>
    <x v="180"/>
    <x v="180"/>
    <x v="179"/>
  </r>
  <r>
    <x v="45"/>
    <x v="3"/>
    <x v="179"/>
    <x v="166"/>
    <x v="181"/>
    <x v="181"/>
    <x v="180"/>
  </r>
  <r>
    <x v="45"/>
    <x v="3"/>
    <x v="180"/>
    <x v="167"/>
    <x v="182"/>
    <x v="182"/>
    <x v="181"/>
  </r>
  <r>
    <x v="45"/>
    <x v="3"/>
    <x v="181"/>
    <x v="168"/>
    <x v="183"/>
    <x v="183"/>
    <x v="182"/>
  </r>
  <r>
    <x v="46"/>
    <x v="0"/>
    <x v="182"/>
    <x v="169"/>
    <x v="184"/>
    <x v="184"/>
    <x v="183"/>
  </r>
  <r>
    <x v="46"/>
    <x v="0"/>
    <x v="183"/>
    <x v="170"/>
    <x v="185"/>
    <x v="185"/>
    <x v="184"/>
  </r>
  <r>
    <x v="46"/>
    <x v="1"/>
    <x v="184"/>
    <x v="171"/>
    <x v="186"/>
    <x v="186"/>
    <x v="185"/>
  </r>
  <r>
    <x v="46"/>
    <x v="0"/>
    <x v="185"/>
    <x v="172"/>
    <x v="187"/>
    <x v="187"/>
    <x v="186"/>
  </r>
  <r>
    <x v="47"/>
    <x v="3"/>
    <x v="186"/>
    <x v="173"/>
    <x v="188"/>
    <x v="188"/>
    <x v="187"/>
  </r>
  <r>
    <x v="47"/>
    <x v="1"/>
    <x v="187"/>
    <x v="19"/>
    <x v="189"/>
    <x v="189"/>
    <x v="188"/>
  </r>
  <r>
    <x v="47"/>
    <x v="1"/>
    <x v="188"/>
    <x v="95"/>
    <x v="190"/>
    <x v="190"/>
    <x v="189"/>
  </r>
  <r>
    <x v="47"/>
    <x v="1"/>
    <x v="189"/>
    <x v="174"/>
    <x v="191"/>
    <x v="191"/>
    <x v="43"/>
  </r>
  <r>
    <x v="48"/>
    <x v="3"/>
    <x v="190"/>
    <x v="175"/>
    <x v="192"/>
    <x v="192"/>
    <x v="190"/>
  </r>
  <r>
    <x v="48"/>
    <x v="2"/>
    <x v="191"/>
    <x v="176"/>
    <x v="193"/>
    <x v="193"/>
    <x v="191"/>
  </r>
  <r>
    <x v="48"/>
    <x v="3"/>
    <x v="192"/>
    <x v="177"/>
    <x v="194"/>
    <x v="194"/>
    <x v="192"/>
  </r>
  <r>
    <x v="48"/>
    <x v="0"/>
    <x v="193"/>
    <x v="178"/>
    <x v="195"/>
    <x v="195"/>
    <x v="193"/>
  </r>
  <r>
    <x v="49"/>
    <x v="0"/>
    <x v="167"/>
    <x v="179"/>
    <x v="196"/>
    <x v="196"/>
    <x v="194"/>
  </r>
  <r>
    <x v="49"/>
    <x v="3"/>
    <x v="194"/>
    <x v="180"/>
    <x v="197"/>
    <x v="197"/>
    <x v="195"/>
  </r>
  <r>
    <x v="49"/>
    <x v="3"/>
    <x v="195"/>
    <x v="181"/>
    <x v="198"/>
    <x v="198"/>
    <x v="196"/>
  </r>
  <r>
    <x v="49"/>
    <x v="1"/>
    <x v="196"/>
    <x v="182"/>
    <x v="199"/>
    <x v="199"/>
    <x v="197"/>
  </r>
</pivotCacheRecords>
</file>

<file path=xl/pivotCache/pivotCacheRecords3.xml><?xml version="1.0" encoding="utf-8"?>
<pivotCacheRecords xmlns:r="http://schemas.openxmlformats.org/officeDocument/2006/relationships" xmlns="http://schemas.openxmlformats.org/spreadsheetml/2006/main" count="3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1"/>
    <x v="1"/>
    <x v="1"/>
    <x v="1"/>
    <x v="1"/>
  </r>
  <r>
    <x v="2"/>
    <x v="0"/>
    <x v="2"/>
    <x v="0"/>
    <x v="1"/>
    <x v="1"/>
    <x v="2"/>
    <x v="2"/>
    <x v="2"/>
    <x v="2"/>
    <x v="2"/>
    <x v="2"/>
    <x v="1"/>
    <x v="2"/>
  </r>
  <r>
    <x v="3"/>
    <x v="0"/>
    <x v="3"/>
    <x v="0"/>
    <x v="2"/>
    <x v="2"/>
    <x v="3"/>
    <x v="3"/>
    <x v="3"/>
    <x v="3"/>
    <x v="3"/>
    <x v="3"/>
    <x v="2"/>
    <x v="3"/>
  </r>
  <r>
    <x v="4"/>
    <x v="0"/>
    <x v="4"/>
    <x v="2"/>
    <x v="3"/>
    <x v="3"/>
    <x v="4"/>
    <x v="4"/>
    <x v="4"/>
    <x v="4"/>
    <x v="4"/>
    <x v="4"/>
    <x v="0"/>
    <x v="4"/>
  </r>
  <r>
    <x v="5"/>
    <x v="0"/>
    <x v="5"/>
    <x v="0"/>
    <x v="4"/>
    <x v="4"/>
    <x v="5"/>
    <x v="5"/>
    <x v="5"/>
    <x v="5"/>
    <x v="5"/>
    <x v="5"/>
    <x v="0"/>
    <x v="5"/>
  </r>
  <r>
    <x v="6"/>
    <x v="0"/>
    <x v="6"/>
    <x v="0"/>
    <x v="4"/>
    <x v="4"/>
    <x v="6"/>
    <x v="6"/>
    <x v="6"/>
    <x v="6"/>
    <x v="6"/>
    <x v="6"/>
    <x v="3"/>
    <x v="6"/>
  </r>
  <r>
    <x v="7"/>
    <x v="1"/>
    <x v="7"/>
    <x v="2"/>
    <x v="5"/>
    <x v="5"/>
    <x v="7"/>
    <x v="7"/>
    <x v="7"/>
    <x v="7"/>
    <x v="7"/>
    <x v="7"/>
    <x v="1"/>
    <x v="7"/>
  </r>
  <r>
    <x v="8"/>
    <x v="1"/>
    <x v="8"/>
    <x v="2"/>
    <x v="0"/>
    <x v="0"/>
    <x v="8"/>
    <x v="8"/>
    <x v="8"/>
    <x v="8"/>
    <x v="8"/>
    <x v="8"/>
    <x v="4"/>
    <x v="8"/>
  </r>
  <r>
    <x v="9"/>
    <x v="0"/>
    <x v="9"/>
    <x v="3"/>
    <x v="3"/>
    <x v="6"/>
    <x v="9"/>
    <x v="9"/>
    <x v="9"/>
    <x v="9"/>
    <x v="9"/>
    <x v="9"/>
    <x v="3"/>
    <x v="9"/>
  </r>
  <r>
    <x v="10"/>
    <x v="2"/>
    <x v="10"/>
    <x v="0"/>
    <x v="5"/>
    <x v="5"/>
    <x v="10"/>
    <x v="10"/>
    <x v="10"/>
    <x v="10"/>
    <x v="10"/>
    <x v="10"/>
    <x v="1"/>
    <x v="10"/>
  </r>
  <r>
    <x v="11"/>
    <x v="1"/>
    <x v="11"/>
    <x v="3"/>
    <x v="1"/>
    <x v="1"/>
    <x v="11"/>
    <x v="11"/>
    <x v="11"/>
    <x v="11"/>
    <x v="11"/>
    <x v="11"/>
    <x v="4"/>
    <x v="11"/>
  </r>
  <r>
    <x v="12"/>
    <x v="3"/>
    <x v="12"/>
    <x v="2"/>
    <x v="5"/>
    <x v="5"/>
    <x v="12"/>
    <x v="12"/>
    <x v="12"/>
    <x v="12"/>
    <x v="12"/>
    <x v="12"/>
    <x v="1"/>
    <x v="12"/>
  </r>
  <r>
    <x v="13"/>
    <x v="0"/>
    <x v="13"/>
    <x v="2"/>
    <x v="4"/>
    <x v="4"/>
    <x v="13"/>
    <x v="13"/>
    <x v="13"/>
    <x v="13"/>
    <x v="13"/>
    <x v="13"/>
    <x v="2"/>
    <x v="13"/>
  </r>
  <r>
    <x v="14"/>
    <x v="2"/>
    <x v="14"/>
    <x v="0"/>
    <x v="4"/>
    <x v="4"/>
    <x v="14"/>
    <x v="14"/>
    <x v="14"/>
    <x v="14"/>
    <x v="14"/>
    <x v="14"/>
    <x v="1"/>
    <x v="14"/>
  </r>
  <r>
    <x v="15"/>
    <x v="2"/>
    <x v="15"/>
    <x v="3"/>
    <x v="0"/>
    <x v="0"/>
    <x v="15"/>
    <x v="15"/>
    <x v="15"/>
    <x v="15"/>
    <x v="15"/>
    <x v="15"/>
    <x v="2"/>
    <x v="15"/>
  </r>
  <r>
    <x v="16"/>
    <x v="1"/>
    <x v="16"/>
    <x v="3"/>
    <x v="5"/>
    <x v="5"/>
    <x v="16"/>
    <x v="16"/>
    <x v="16"/>
    <x v="16"/>
    <x v="16"/>
    <x v="16"/>
    <x v="0"/>
    <x v="16"/>
  </r>
  <r>
    <x v="17"/>
    <x v="3"/>
    <x v="17"/>
    <x v="0"/>
    <x v="6"/>
    <x v="7"/>
    <x v="17"/>
    <x v="17"/>
    <x v="17"/>
    <x v="17"/>
    <x v="17"/>
    <x v="17"/>
    <x v="0"/>
    <x v="17"/>
  </r>
  <r>
    <x v="18"/>
    <x v="1"/>
    <x v="18"/>
    <x v="1"/>
    <x v="0"/>
    <x v="0"/>
    <x v="18"/>
    <x v="18"/>
    <x v="18"/>
    <x v="18"/>
    <x v="18"/>
    <x v="18"/>
    <x v="1"/>
    <x v="18"/>
  </r>
  <r>
    <x v="19"/>
    <x v="2"/>
    <x v="19"/>
    <x v="0"/>
    <x v="3"/>
    <x v="3"/>
    <x v="19"/>
    <x v="19"/>
    <x v="19"/>
    <x v="19"/>
    <x v="19"/>
    <x v="19"/>
    <x v="3"/>
    <x v="19"/>
  </r>
  <r>
    <x v="20"/>
    <x v="1"/>
    <x v="20"/>
    <x v="3"/>
    <x v="7"/>
    <x v="8"/>
    <x v="20"/>
    <x v="20"/>
    <x v="20"/>
    <x v="20"/>
    <x v="20"/>
    <x v="20"/>
    <x v="3"/>
    <x v="20"/>
  </r>
  <r>
    <x v="21"/>
    <x v="3"/>
    <x v="21"/>
    <x v="1"/>
    <x v="2"/>
    <x v="2"/>
    <x v="21"/>
    <x v="21"/>
    <x v="21"/>
    <x v="21"/>
    <x v="21"/>
    <x v="21"/>
    <x v="0"/>
    <x v="21"/>
  </r>
  <r>
    <x v="22"/>
    <x v="2"/>
    <x v="22"/>
    <x v="1"/>
    <x v="1"/>
    <x v="1"/>
    <x v="22"/>
    <x v="22"/>
    <x v="22"/>
    <x v="22"/>
    <x v="22"/>
    <x v="22"/>
    <x v="4"/>
    <x v="22"/>
  </r>
  <r>
    <x v="23"/>
    <x v="1"/>
    <x v="23"/>
    <x v="3"/>
    <x v="0"/>
    <x v="0"/>
    <x v="23"/>
    <x v="23"/>
    <x v="23"/>
    <x v="23"/>
    <x v="23"/>
    <x v="23"/>
    <x v="1"/>
    <x v="23"/>
  </r>
  <r>
    <x v="24"/>
    <x v="1"/>
    <x v="24"/>
    <x v="0"/>
    <x v="4"/>
    <x v="4"/>
    <x v="24"/>
    <x v="24"/>
    <x v="24"/>
    <x v="24"/>
    <x v="24"/>
    <x v="24"/>
    <x v="1"/>
    <x v="24"/>
  </r>
  <r>
    <x v="25"/>
    <x v="0"/>
    <x v="5"/>
    <x v="0"/>
    <x v="6"/>
    <x v="7"/>
    <x v="25"/>
    <x v="25"/>
    <x v="25"/>
    <x v="25"/>
    <x v="25"/>
    <x v="25"/>
    <x v="3"/>
    <x v="25"/>
  </r>
  <r>
    <x v="26"/>
    <x v="3"/>
    <x v="25"/>
    <x v="3"/>
    <x v="8"/>
    <x v="9"/>
    <x v="26"/>
    <x v="26"/>
    <x v="26"/>
    <x v="26"/>
    <x v="26"/>
    <x v="26"/>
    <x v="3"/>
    <x v="26"/>
  </r>
  <r>
    <x v="27"/>
    <x v="0"/>
    <x v="26"/>
    <x v="0"/>
    <x v="3"/>
    <x v="3"/>
    <x v="27"/>
    <x v="27"/>
    <x v="27"/>
    <x v="27"/>
    <x v="27"/>
    <x v="27"/>
    <x v="0"/>
    <x v="27"/>
  </r>
  <r>
    <x v="28"/>
    <x v="3"/>
    <x v="27"/>
    <x v="1"/>
    <x v="7"/>
    <x v="8"/>
    <x v="28"/>
    <x v="26"/>
    <x v="28"/>
    <x v="28"/>
    <x v="28"/>
    <x v="28"/>
    <x v="4"/>
    <x v="28"/>
  </r>
  <r>
    <x v="29"/>
    <x v="0"/>
    <x v="28"/>
    <x v="0"/>
    <x v="3"/>
    <x v="6"/>
    <x v="29"/>
    <x v="28"/>
    <x v="29"/>
    <x v="29"/>
    <x v="29"/>
    <x v="29"/>
    <x v="3"/>
    <x v="29"/>
  </r>
  <r>
    <x v="30"/>
    <x v="0"/>
    <x v="29"/>
    <x v="0"/>
    <x v="3"/>
    <x v="3"/>
    <x v="30"/>
    <x v="29"/>
    <x v="30"/>
    <x v="30"/>
    <x v="30"/>
    <x v="30"/>
    <x v="0"/>
    <x v="30"/>
  </r>
  <r>
    <x v="31"/>
    <x v="0"/>
    <x v="30"/>
    <x v="2"/>
    <x v="4"/>
    <x v="4"/>
    <x v="31"/>
    <x v="30"/>
    <x v="31"/>
    <x v="31"/>
    <x v="31"/>
    <x v="31"/>
    <x v="1"/>
    <x v="31"/>
  </r>
  <r>
    <x v="32"/>
    <x v="3"/>
    <x v="31"/>
    <x v="0"/>
    <x v="0"/>
    <x v="0"/>
    <x v="32"/>
    <x v="31"/>
    <x v="32"/>
    <x v="32"/>
    <x v="32"/>
    <x v="32"/>
    <x v="0"/>
    <x v="32"/>
  </r>
  <r>
    <x v="33"/>
    <x v="1"/>
    <x v="32"/>
    <x v="2"/>
    <x v="2"/>
    <x v="2"/>
    <x v="33"/>
    <x v="32"/>
    <x v="33"/>
    <x v="33"/>
    <x v="33"/>
    <x v="33"/>
    <x v="3"/>
    <x v="33"/>
  </r>
  <r>
    <x v="34"/>
    <x v="3"/>
    <x v="33"/>
    <x v="1"/>
    <x v="5"/>
    <x v="5"/>
    <x v="34"/>
    <x v="7"/>
    <x v="9"/>
    <x v="34"/>
    <x v="34"/>
    <x v="34"/>
    <x v="2"/>
    <x v="34"/>
  </r>
  <r>
    <x v="35"/>
    <x v="1"/>
    <x v="34"/>
    <x v="1"/>
    <x v="2"/>
    <x v="2"/>
    <x v="35"/>
    <x v="33"/>
    <x v="34"/>
    <x v="35"/>
    <x v="35"/>
    <x v="35"/>
    <x v="0"/>
    <x v="35"/>
  </r>
  <r>
    <x v="36"/>
    <x v="0"/>
    <x v="35"/>
    <x v="2"/>
    <x v="2"/>
    <x v="2"/>
    <x v="36"/>
    <x v="34"/>
    <x v="35"/>
    <x v="36"/>
    <x v="36"/>
    <x v="36"/>
    <x v="0"/>
    <x v="36"/>
  </r>
  <r>
    <x v="37"/>
    <x v="2"/>
    <x v="36"/>
    <x v="2"/>
    <x v="7"/>
    <x v="8"/>
    <x v="37"/>
    <x v="35"/>
    <x v="36"/>
    <x v="37"/>
    <x v="37"/>
    <x v="37"/>
    <x v="2"/>
    <x v="37"/>
  </r>
  <r>
    <x v="38"/>
    <x v="3"/>
    <x v="37"/>
    <x v="1"/>
    <x v="6"/>
    <x v="7"/>
    <x v="38"/>
    <x v="36"/>
    <x v="37"/>
    <x v="38"/>
    <x v="38"/>
    <x v="38"/>
    <x v="2"/>
    <x v="38"/>
  </r>
  <r>
    <x v="39"/>
    <x v="3"/>
    <x v="38"/>
    <x v="3"/>
    <x v="7"/>
    <x v="8"/>
    <x v="39"/>
    <x v="37"/>
    <x v="38"/>
    <x v="39"/>
    <x v="39"/>
    <x v="39"/>
    <x v="1"/>
    <x v="39"/>
  </r>
  <r>
    <x v="40"/>
    <x v="2"/>
    <x v="39"/>
    <x v="3"/>
    <x v="3"/>
    <x v="6"/>
    <x v="40"/>
    <x v="38"/>
    <x v="39"/>
    <x v="40"/>
    <x v="40"/>
    <x v="40"/>
    <x v="4"/>
    <x v="40"/>
  </r>
  <r>
    <x v="41"/>
    <x v="2"/>
    <x v="40"/>
    <x v="0"/>
    <x v="9"/>
    <x v="7"/>
    <x v="41"/>
    <x v="39"/>
    <x v="40"/>
    <x v="41"/>
    <x v="41"/>
    <x v="41"/>
    <x v="3"/>
    <x v="41"/>
  </r>
  <r>
    <x v="42"/>
    <x v="3"/>
    <x v="41"/>
    <x v="2"/>
    <x v="2"/>
    <x v="2"/>
    <x v="42"/>
    <x v="14"/>
    <x v="41"/>
    <x v="29"/>
    <x v="42"/>
    <x v="42"/>
    <x v="2"/>
    <x v="42"/>
  </r>
  <r>
    <x v="43"/>
    <x v="1"/>
    <x v="42"/>
    <x v="3"/>
    <x v="6"/>
    <x v="7"/>
    <x v="43"/>
    <x v="40"/>
    <x v="42"/>
    <x v="42"/>
    <x v="43"/>
    <x v="43"/>
    <x v="4"/>
    <x v="43"/>
  </r>
  <r>
    <x v="44"/>
    <x v="2"/>
    <x v="43"/>
    <x v="3"/>
    <x v="2"/>
    <x v="2"/>
    <x v="44"/>
    <x v="41"/>
    <x v="43"/>
    <x v="43"/>
    <x v="44"/>
    <x v="44"/>
    <x v="0"/>
    <x v="44"/>
  </r>
  <r>
    <x v="45"/>
    <x v="3"/>
    <x v="44"/>
    <x v="0"/>
    <x v="8"/>
    <x v="9"/>
    <x v="45"/>
    <x v="42"/>
    <x v="44"/>
    <x v="44"/>
    <x v="45"/>
    <x v="45"/>
    <x v="2"/>
    <x v="45"/>
  </r>
  <r>
    <x v="46"/>
    <x v="1"/>
    <x v="7"/>
    <x v="1"/>
    <x v="3"/>
    <x v="6"/>
    <x v="46"/>
    <x v="43"/>
    <x v="45"/>
    <x v="45"/>
    <x v="46"/>
    <x v="46"/>
    <x v="3"/>
    <x v="46"/>
  </r>
  <r>
    <x v="47"/>
    <x v="1"/>
    <x v="45"/>
    <x v="2"/>
    <x v="4"/>
    <x v="4"/>
    <x v="47"/>
    <x v="44"/>
    <x v="46"/>
    <x v="28"/>
    <x v="47"/>
    <x v="47"/>
    <x v="3"/>
    <x v="47"/>
  </r>
  <r>
    <x v="48"/>
    <x v="2"/>
    <x v="23"/>
    <x v="0"/>
    <x v="7"/>
    <x v="8"/>
    <x v="48"/>
    <x v="45"/>
    <x v="47"/>
    <x v="46"/>
    <x v="48"/>
    <x v="48"/>
    <x v="3"/>
    <x v="48"/>
  </r>
  <r>
    <x v="49"/>
    <x v="1"/>
    <x v="46"/>
    <x v="0"/>
    <x v="8"/>
    <x v="9"/>
    <x v="49"/>
    <x v="12"/>
    <x v="48"/>
    <x v="47"/>
    <x v="49"/>
    <x v="49"/>
    <x v="2"/>
    <x v="49"/>
  </r>
  <r>
    <x v="50"/>
    <x v="2"/>
    <x v="47"/>
    <x v="3"/>
    <x v="3"/>
    <x v="6"/>
    <x v="50"/>
    <x v="46"/>
    <x v="49"/>
    <x v="48"/>
    <x v="50"/>
    <x v="50"/>
    <x v="0"/>
    <x v="50"/>
  </r>
  <r>
    <x v="51"/>
    <x v="0"/>
    <x v="48"/>
    <x v="3"/>
    <x v="2"/>
    <x v="2"/>
    <x v="51"/>
    <x v="47"/>
    <x v="50"/>
    <x v="49"/>
    <x v="51"/>
    <x v="51"/>
    <x v="4"/>
    <x v="51"/>
  </r>
  <r>
    <x v="52"/>
    <x v="2"/>
    <x v="20"/>
    <x v="0"/>
    <x v="2"/>
    <x v="2"/>
    <x v="52"/>
    <x v="48"/>
    <x v="51"/>
    <x v="50"/>
    <x v="52"/>
    <x v="52"/>
    <x v="1"/>
    <x v="52"/>
  </r>
  <r>
    <x v="53"/>
    <x v="0"/>
    <x v="49"/>
    <x v="2"/>
    <x v="0"/>
    <x v="0"/>
    <x v="53"/>
    <x v="49"/>
    <x v="52"/>
    <x v="51"/>
    <x v="53"/>
    <x v="53"/>
    <x v="0"/>
    <x v="53"/>
  </r>
  <r>
    <x v="54"/>
    <x v="2"/>
    <x v="50"/>
    <x v="1"/>
    <x v="7"/>
    <x v="8"/>
    <x v="54"/>
    <x v="50"/>
    <x v="53"/>
    <x v="52"/>
    <x v="54"/>
    <x v="54"/>
    <x v="4"/>
    <x v="54"/>
  </r>
  <r>
    <x v="55"/>
    <x v="0"/>
    <x v="51"/>
    <x v="0"/>
    <x v="3"/>
    <x v="6"/>
    <x v="55"/>
    <x v="51"/>
    <x v="54"/>
    <x v="53"/>
    <x v="55"/>
    <x v="55"/>
    <x v="4"/>
    <x v="55"/>
  </r>
  <r>
    <x v="56"/>
    <x v="2"/>
    <x v="52"/>
    <x v="0"/>
    <x v="7"/>
    <x v="8"/>
    <x v="56"/>
    <x v="52"/>
    <x v="55"/>
    <x v="54"/>
    <x v="56"/>
    <x v="56"/>
    <x v="3"/>
    <x v="56"/>
  </r>
  <r>
    <x v="57"/>
    <x v="1"/>
    <x v="47"/>
    <x v="2"/>
    <x v="4"/>
    <x v="4"/>
    <x v="57"/>
    <x v="53"/>
    <x v="56"/>
    <x v="55"/>
    <x v="57"/>
    <x v="57"/>
    <x v="2"/>
    <x v="57"/>
  </r>
  <r>
    <x v="58"/>
    <x v="1"/>
    <x v="53"/>
    <x v="2"/>
    <x v="3"/>
    <x v="6"/>
    <x v="58"/>
    <x v="54"/>
    <x v="57"/>
    <x v="56"/>
    <x v="58"/>
    <x v="58"/>
    <x v="3"/>
    <x v="58"/>
  </r>
  <r>
    <x v="59"/>
    <x v="1"/>
    <x v="54"/>
    <x v="2"/>
    <x v="0"/>
    <x v="0"/>
    <x v="59"/>
    <x v="55"/>
    <x v="58"/>
    <x v="57"/>
    <x v="59"/>
    <x v="59"/>
    <x v="4"/>
    <x v="59"/>
  </r>
  <r>
    <x v="60"/>
    <x v="1"/>
    <x v="55"/>
    <x v="1"/>
    <x v="10"/>
    <x v="10"/>
    <x v="60"/>
    <x v="56"/>
    <x v="59"/>
    <x v="58"/>
    <x v="60"/>
    <x v="60"/>
    <x v="0"/>
    <x v="60"/>
  </r>
  <r>
    <x v="61"/>
    <x v="0"/>
    <x v="56"/>
    <x v="2"/>
    <x v="9"/>
    <x v="7"/>
    <x v="61"/>
    <x v="57"/>
    <x v="60"/>
    <x v="59"/>
    <x v="61"/>
    <x v="61"/>
    <x v="4"/>
    <x v="61"/>
  </r>
  <r>
    <x v="62"/>
    <x v="2"/>
    <x v="57"/>
    <x v="0"/>
    <x v="3"/>
    <x v="6"/>
    <x v="62"/>
    <x v="58"/>
    <x v="61"/>
    <x v="60"/>
    <x v="62"/>
    <x v="62"/>
    <x v="2"/>
    <x v="62"/>
  </r>
  <r>
    <x v="63"/>
    <x v="2"/>
    <x v="58"/>
    <x v="2"/>
    <x v="5"/>
    <x v="5"/>
    <x v="63"/>
    <x v="59"/>
    <x v="62"/>
    <x v="61"/>
    <x v="63"/>
    <x v="63"/>
    <x v="4"/>
    <x v="63"/>
  </r>
  <r>
    <x v="64"/>
    <x v="2"/>
    <x v="59"/>
    <x v="0"/>
    <x v="2"/>
    <x v="2"/>
    <x v="64"/>
    <x v="60"/>
    <x v="63"/>
    <x v="62"/>
    <x v="64"/>
    <x v="64"/>
    <x v="4"/>
    <x v="64"/>
  </r>
  <r>
    <x v="65"/>
    <x v="2"/>
    <x v="60"/>
    <x v="1"/>
    <x v="3"/>
    <x v="3"/>
    <x v="65"/>
    <x v="61"/>
    <x v="64"/>
    <x v="63"/>
    <x v="65"/>
    <x v="65"/>
    <x v="0"/>
    <x v="65"/>
  </r>
  <r>
    <x v="66"/>
    <x v="3"/>
    <x v="61"/>
    <x v="0"/>
    <x v="0"/>
    <x v="0"/>
    <x v="66"/>
    <x v="62"/>
    <x v="65"/>
    <x v="39"/>
    <x v="66"/>
    <x v="66"/>
    <x v="4"/>
    <x v="66"/>
  </r>
  <r>
    <x v="67"/>
    <x v="3"/>
    <x v="62"/>
    <x v="2"/>
    <x v="5"/>
    <x v="5"/>
    <x v="67"/>
    <x v="63"/>
    <x v="66"/>
    <x v="64"/>
    <x v="67"/>
    <x v="67"/>
    <x v="2"/>
    <x v="67"/>
  </r>
  <r>
    <x v="68"/>
    <x v="1"/>
    <x v="63"/>
    <x v="3"/>
    <x v="8"/>
    <x v="9"/>
    <x v="68"/>
    <x v="64"/>
    <x v="67"/>
    <x v="65"/>
    <x v="68"/>
    <x v="68"/>
    <x v="1"/>
    <x v="68"/>
  </r>
  <r>
    <x v="69"/>
    <x v="3"/>
    <x v="15"/>
    <x v="0"/>
    <x v="9"/>
    <x v="7"/>
    <x v="69"/>
    <x v="65"/>
    <x v="68"/>
    <x v="66"/>
    <x v="69"/>
    <x v="69"/>
    <x v="2"/>
    <x v="69"/>
  </r>
  <r>
    <x v="70"/>
    <x v="0"/>
    <x v="64"/>
    <x v="1"/>
    <x v="3"/>
    <x v="6"/>
    <x v="70"/>
    <x v="66"/>
    <x v="69"/>
    <x v="67"/>
    <x v="70"/>
    <x v="70"/>
    <x v="0"/>
    <x v="70"/>
  </r>
  <r>
    <x v="71"/>
    <x v="0"/>
    <x v="65"/>
    <x v="2"/>
    <x v="8"/>
    <x v="9"/>
    <x v="71"/>
    <x v="67"/>
    <x v="70"/>
    <x v="68"/>
    <x v="71"/>
    <x v="71"/>
    <x v="4"/>
    <x v="71"/>
  </r>
  <r>
    <x v="72"/>
    <x v="1"/>
    <x v="66"/>
    <x v="0"/>
    <x v="4"/>
    <x v="4"/>
    <x v="72"/>
    <x v="68"/>
    <x v="71"/>
    <x v="69"/>
    <x v="72"/>
    <x v="72"/>
    <x v="4"/>
    <x v="72"/>
  </r>
  <r>
    <x v="73"/>
    <x v="3"/>
    <x v="38"/>
    <x v="3"/>
    <x v="3"/>
    <x v="6"/>
    <x v="73"/>
    <x v="69"/>
    <x v="72"/>
    <x v="70"/>
    <x v="73"/>
    <x v="73"/>
    <x v="1"/>
    <x v="73"/>
  </r>
  <r>
    <x v="74"/>
    <x v="3"/>
    <x v="67"/>
    <x v="3"/>
    <x v="3"/>
    <x v="3"/>
    <x v="74"/>
    <x v="70"/>
    <x v="73"/>
    <x v="71"/>
    <x v="74"/>
    <x v="74"/>
    <x v="1"/>
    <x v="74"/>
  </r>
  <r>
    <x v="75"/>
    <x v="1"/>
    <x v="68"/>
    <x v="1"/>
    <x v="4"/>
    <x v="4"/>
    <x v="75"/>
    <x v="71"/>
    <x v="74"/>
    <x v="72"/>
    <x v="75"/>
    <x v="75"/>
    <x v="4"/>
    <x v="75"/>
  </r>
  <r>
    <x v="76"/>
    <x v="1"/>
    <x v="69"/>
    <x v="0"/>
    <x v="10"/>
    <x v="10"/>
    <x v="76"/>
    <x v="72"/>
    <x v="34"/>
    <x v="73"/>
    <x v="76"/>
    <x v="76"/>
    <x v="1"/>
    <x v="76"/>
  </r>
  <r>
    <x v="77"/>
    <x v="3"/>
    <x v="70"/>
    <x v="2"/>
    <x v="8"/>
    <x v="9"/>
    <x v="77"/>
    <x v="73"/>
    <x v="75"/>
    <x v="74"/>
    <x v="77"/>
    <x v="77"/>
    <x v="2"/>
    <x v="77"/>
  </r>
  <r>
    <x v="78"/>
    <x v="3"/>
    <x v="71"/>
    <x v="0"/>
    <x v="10"/>
    <x v="10"/>
    <x v="78"/>
    <x v="74"/>
    <x v="76"/>
    <x v="75"/>
    <x v="78"/>
    <x v="78"/>
    <x v="4"/>
    <x v="78"/>
  </r>
  <r>
    <x v="79"/>
    <x v="2"/>
    <x v="8"/>
    <x v="2"/>
    <x v="4"/>
    <x v="4"/>
    <x v="79"/>
    <x v="10"/>
    <x v="77"/>
    <x v="76"/>
    <x v="79"/>
    <x v="79"/>
    <x v="4"/>
    <x v="79"/>
  </r>
  <r>
    <x v="80"/>
    <x v="0"/>
    <x v="72"/>
    <x v="3"/>
    <x v="9"/>
    <x v="7"/>
    <x v="80"/>
    <x v="75"/>
    <x v="78"/>
    <x v="77"/>
    <x v="80"/>
    <x v="80"/>
    <x v="1"/>
    <x v="80"/>
  </r>
  <r>
    <x v="81"/>
    <x v="1"/>
    <x v="73"/>
    <x v="0"/>
    <x v="1"/>
    <x v="1"/>
    <x v="81"/>
    <x v="76"/>
    <x v="79"/>
    <x v="78"/>
    <x v="81"/>
    <x v="81"/>
    <x v="1"/>
    <x v="81"/>
  </r>
  <r>
    <x v="82"/>
    <x v="0"/>
    <x v="74"/>
    <x v="0"/>
    <x v="7"/>
    <x v="8"/>
    <x v="82"/>
    <x v="77"/>
    <x v="80"/>
    <x v="79"/>
    <x v="82"/>
    <x v="82"/>
    <x v="1"/>
    <x v="82"/>
  </r>
  <r>
    <x v="83"/>
    <x v="0"/>
    <x v="75"/>
    <x v="0"/>
    <x v="10"/>
    <x v="10"/>
    <x v="83"/>
    <x v="78"/>
    <x v="81"/>
    <x v="80"/>
    <x v="83"/>
    <x v="83"/>
    <x v="0"/>
    <x v="83"/>
  </r>
  <r>
    <x v="84"/>
    <x v="3"/>
    <x v="76"/>
    <x v="3"/>
    <x v="3"/>
    <x v="6"/>
    <x v="84"/>
    <x v="79"/>
    <x v="82"/>
    <x v="81"/>
    <x v="84"/>
    <x v="84"/>
    <x v="0"/>
    <x v="84"/>
  </r>
  <r>
    <x v="85"/>
    <x v="2"/>
    <x v="77"/>
    <x v="0"/>
    <x v="0"/>
    <x v="0"/>
    <x v="85"/>
    <x v="80"/>
    <x v="83"/>
    <x v="82"/>
    <x v="85"/>
    <x v="85"/>
    <x v="0"/>
    <x v="85"/>
  </r>
  <r>
    <x v="86"/>
    <x v="3"/>
    <x v="78"/>
    <x v="3"/>
    <x v="0"/>
    <x v="0"/>
    <x v="86"/>
    <x v="81"/>
    <x v="84"/>
    <x v="83"/>
    <x v="86"/>
    <x v="86"/>
    <x v="0"/>
    <x v="86"/>
  </r>
  <r>
    <x v="87"/>
    <x v="1"/>
    <x v="39"/>
    <x v="3"/>
    <x v="6"/>
    <x v="7"/>
    <x v="87"/>
    <x v="82"/>
    <x v="85"/>
    <x v="84"/>
    <x v="87"/>
    <x v="87"/>
    <x v="4"/>
    <x v="87"/>
  </r>
  <r>
    <x v="88"/>
    <x v="1"/>
    <x v="79"/>
    <x v="0"/>
    <x v="9"/>
    <x v="7"/>
    <x v="88"/>
    <x v="83"/>
    <x v="86"/>
    <x v="85"/>
    <x v="88"/>
    <x v="88"/>
    <x v="4"/>
    <x v="88"/>
  </r>
  <r>
    <x v="89"/>
    <x v="3"/>
    <x v="80"/>
    <x v="0"/>
    <x v="0"/>
    <x v="0"/>
    <x v="89"/>
    <x v="84"/>
    <x v="87"/>
    <x v="86"/>
    <x v="89"/>
    <x v="89"/>
    <x v="2"/>
    <x v="89"/>
  </r>
  <r>
    <x v="90"/>
    <x v="3"/>
    <x v="81"/>
    <x v="2"/>
    <x v="2"/>
    <x v="2"/>
    <x v="90"/>
    <x v="85"/>
    <x v="88"/>
    <x v="87"/>
    <x v="90"/>
    <x v="90"/>
    <x v="0"/>
    <x v="90"/>
  </r>
  <r>
    <x v="91"/>
    <x v="3"/>
    <x v="82"/>
    <x v="1"/>
    <x v="3"/>
    <x v="3"/>
    <x v="91"/>
    <x v="86"/>
    <x v="89"/>
    <x v="88"/>
    <x v="91"/>
    <x v="91"/>
    <x v="1"/>
    <x v="91"/>
  </r>
  <r>
    <x v="92"/>
    <x v="2"/>
    <x v="48"/>
    <x v="2"/>
    <x v="2"/>
    <x v="2"/>
    <x v="92"/>
    <x v="87"/>
    <x v="90"/>
    <x v="89"/>
    <x v="92"/>
    <x v="92"/>
    <x v="4"/>
    <x v="92"/>
  </r>
  <r>
    <x v="93"/>
    <x v="0"/>
    <x v="83"/>
    <x v="1"/>
    <x v="7"/>
    <x v="8"/>
    <x v="93"/>
    <x v="88"/>
    <x v="91"/>
    <x v="90"/>
    <x v="93"/>
    <x v="93"/>
    <x v="2"/>
    <x v="93"/>
  </r>
  <r>
    <x v="94"/>
    <x v="2"/>
    <x v="84"/>
    <x v="1"/>
    <x v="0"/>
    <x v="0"/>
    <x v="94"/>
    <x v="89"/>
    <x v="92"/>
    <x v="91"/>
    <x v="94"/>
    <x v="94"/>
    <x v="1"/>
    <x v="94"/>
  </r>
  <r>
    <x v="95"/>
    <x v="0"/>
    <x v="85"/>
    <x v="0"/>
    <x v="2"/>
    <x v="2"/>
    <x v="95"/>
    <x v="90"/>
    <x v="93"/>
    <x v="92"/>
    <x v="95"/>
    <x v="95"/>
    <x v="2"/>
    <x v="95"/>
  </r>
  <r>
    <x v="96"/>
    <x v="1"/>
    <x v="86"/>
    <x v="3"/>
    <x v="3"/>
    <x v="3"/>
    <x v="96"/>
    <x v="91"/>
    <x v="94"/>
    <x v="93"/>
    <x v="96"/>
    <x v="96"/>
    <x v="3"/>
    <x v="96"/>
  </r>
  <r>
    <x v="97"/>
    <x v="1"/>
    <x v="87"/>
    <x v="1"/>
    <x v="3"/>
    <x v="6"/>
    <x v="97"/>
    <x v="92"/>
    <x v="42"/>
    <x v="94"/>
    <x v="97"/>
    <x v="97"/>
    <x v="1"/>
    <x v="97"/>
  </r>
  <r>
    <x v="98"/>
    <x v="0"/>
    <x v="51"/>
    <x v="1"/>
    <x v="0"/>
    <x v="0"/>
    <x v="98"/>
    <x v="93"/>
    <x v="95"/>
    <x v="95"/>
    <x v="98"/>
    <x v="98"/>
    <x v="4"/>
    <x v="98"/>
  </r>
  <r>
    <x v="99"/>
    <x v="0"/>
    <x v="24"/>
    <x v="2"/>
    <x v="6"/>
    <x v="7"/>
    <x v="99"/>
    <x v="94"/>
    <x v="96"/>
    <x v="96"/>
    <x v="99"/>
    <x v="99"/>
    <x v="0"/>
    <x v="99"/>
  </r>
  <r>
    <x v="100"/>
    <x v="3"/>
    <x v="29"/>
    <x v="1"/>
    <x v="3"/>
    <x v="3"/>
    <x v="100"/>
    <x v="95"/>
    <x v="97"/>
    <x v="97"/>
    <x v="100"/>
    <x v="100"/>
    <x v="1"/>
    <x v="100"/>
  </r>
  <r>
    <x v="101"/>
    <x v="0"/>
    <x v="88"/>
    <x v="1"/>
    <x v="0"/>
    <x v="0"/>
    <x v="101"/>
    <x v="96"/>
    <x v="98"/>
    <x v="98"/>
    <x v="101"/>
    <x v="101"/>
    <x v="0"/>
    <x v="101"/>
  </r>
  <r>
    <x v="102"/>
    <x v="3"/>
    <x v="89"/>
    <x v="3"/>
    <x v="9"/>
    <x v="7"/>
    <x v="102"/>
    <x v="97"/>
    <x v="99"/>
    <x v="99"/>
    <x v="102"/>
    <x v="102"/>
    <x v="3"/>
    <x v="102"/>
  </r>
  <r>
    <x v="103"/>
    <x v="1"/>
    <x v="90"/>
    <x v="1"/>
    <x v="3"/>
    <x v="3"/>
    <x v="103"/>
    <x v="98"/>
    <x v="100"/>
    <x v="100"/>
    <x v="103"/>
    <x v="103"/>
    <x v="1"/>
    <x v="103"/>
  </r>
  <r>
    <x v="104"/>
    <x v="3"/>
    <x v="91"/>
    <x v="2"/>
    <x v="2"/>
    <x v="2"/>
    <x v="55"/>
    <x v="99"/>
    <x v="101"/>
    <x v="101"/>
    <x v="104"/>
    <x v="104"/>
    <x v="0"/>
    <x v="104"/>
  </r>
  <r>
    <x v="105"/>
    <x v="1"/>
    <x v="92"/>
    <x v="1"/>
    <x v="0"/>
    <x v="0"/>
    <x v="104"/>
    <x v="100"/>
    <x v="48"/>
    <x v="102"/>
    <x v="105"/>
    <x v="105"/>
    <x v="1"/>
    <x v="105"/>
  </r>
  <r>
    <x v="106"/>
    <x v="1"/>
    <x v="93"/>
    <x v="3"/>
    <x v="1"/>
    <x v="1"/>
    <x v="105"/>
    <x v="101"/>
    <x v="102"/>
    <x v="103"/>
    <x v="106"/>
    <x v="106"/>
    <x v="1"/>
    <x v="106"/>
  </r>
  <r>
    <x v="107"/>
    <x v="1"/>
    <x v="94"/>
    <x v="2"/>
    <x v="10"/>
    <x v="10"/>
    <x v="106"/>
    <x v="102"/>
    <x v="103"/>
    <x v="104"/>
    <x v="107"/>
    <x v="107"/>
    <x v="0"/>
    <x v="107"/>
  </r>
  <r>
    <x v="108"/>
    <x v="0"/>
    <x v="95"/>
    <x v="1"/>
    <x v="8"/>
    <x v="9"/>
    <x v="107"/>
    <x v="103"/>
    <x v="0"/>
    <x v="105"/>
    <x v="108"/>
    <x v="108"/>
    <x v="1"/>
    <x v="108"/>
  </r>
  <r>
    <x v="109"/>
    <x v="2"/>
    <x v="96"/>
    <x v="2"/>
    <x v="5"/>
    <x v="5"/>
    <x v="108"/>
    <x v="104"/>
    <x v="104"/>
    <x v="106"/>
    <x v="109"/>
    <x v="109"/>
    <x v="2"/>
    <x v="109"/>
  </r>
  <r>
    <x v="110"/>
    <x v="0"/>
    <x v="84"/>
    <x v="2"/>
    <x v="4"/>
    <x v="4"/>
    <x v="109"/>
    <x v="105"/>
    <x v="105"/>
    <x v="107"/>
    <x v="110"/>
    <x v="110"/>
    <x v="1"/>
    <x v="110"/>
  </r>
  <r>
    <x v="111"/>
    <x v="2"/>
    <x v="97"/>
    <x v="2"/>
    <x v="9"/>
    <x v="7"/>
    <x v="110"/>
    <x v="106"/>
    <x v="106"/>
    <x v="108"/>
    <x v="111"/>
    <x v="111"/>
    <x v="3"/>
    <x v="111"/>
  </r>
  <r>
    <x v="112"/>
    <x v="1"/>
    <x v="98"/>
    <x v="0"/>
    <x v="9"/>
    <x v="7"/>
    <x v="111"/>
    <x v="82"/>
    <x v="107"/>
    <x v="109"/>
    <x v="112"/>
    <x v="112"/>
    <x v="2"/>
    <x v="112"/>
  </r>
  <r>
    <x v="113"/>
    <x v="1"/>
    <x v="99"/>
    <x v="1"/>
    <x v="3"/>
    <x v="6"/>
    <x v="112"/>
    <x v="107"/>
    <x v="108"/>
    <x v="110"/>
    <x v="113"/>
    <x v="113"/>
    <x v="2"/>
    <x v="113"/>
  </r>
  <r>
    <x v="114"/>
    <x v="0"/>
    <x v="100"/>
    <x v="1"/>
    <x v="4"/>
    <x v="4"/>
    <x v="113"/>
    <x v="108"/>
    <x v="109"/>
    <x v="111"/>
    <x v="114"/>
    <x v="114"/>
    <x v="2"/>
    <x v="114"/>
  </r>
  <r>
    <x v="115"/>
    <x v="2"/>
    <x v="101"/>
    <x v="0"/>
    <x v="4"/>
    <x v="4"/>
    <x v="114"/>
    <x v="109"/>
    <x v="110"/>
    <x v="112"/>
    <x v="115"/>
    <x v="115"/>
    <x v="3"/>
    <x v="115"/>
  </r>
  <r>
    <x v="116"/>
    <x v="3"/>
    <x v="102"/>
    <x v="2"/>
    <x v="10"/>
    <x v="10"/>
    <x v="115"/>
    <x v="110"/>
    <x v="111"/>
    <x v="113"/>
    <x v="116"/>
    <x v="116"/>
    <x v="1"/>
    <x v="116"/>
  </r>
  <r>
    <x v="117"/>
    <x v="3"/>
    <x v="103"/>
    <x v="2"/>
    <x v="6"/>
    <x v="7"/>
    <x v="116"/>
    <x v="111"/>
    <x v="112"/>
    <x v="114"/>
    <x v="117"/>
    <x v="117"/>
    <x v="1"/>
    <x v="117"/>
  </r>
  <r>
    <x v="118"/>
    <x v="0"/>
    <x v="104"/>
    <x v="2"/>
    <x v="10"/>
    <x v="10"/>
    <x v="117"/>
    <x v="112"/>
    <x v="113"/>
    <x v="115"/>
    <x v="118"/>
    <x v="118"/>
    <x v="0"/>
    <x v="118"/>
  </r>
  <r>
    <x v="119"/>
    <x v="3"/>
    <x v="105"/>
    <x v="0"/>
    <x v="7"/>
    <x v="8"/>
    <x v="118"/>
    <x v="113"/>
    <x v="114"/>
    <x v="116"/>
    <x v="119"/>
    <x v="119"/>
    <x v="2"/>
    <x v="119"/>
  </r>
  <r>
    <x v="120"/>
    <x v="2"/>
    <x v="106"/>
    <x v="1"/>
    <x v="5"/>
    <x v="5"/>
    <x v="119"/>
    <x v="114"/>
    <x v="83"/>
    <x v="117"/>
    <x v="120"/>
    <x v="120"/>
    <x v="3"/>
    <x v="120"/>
  </r>
  <r>
    <x v="121"/>
    <x v="0"/>
    <x v="107"/>
    <x v="1"/>
    <x v="2"/>
    <x v="2"/>
    <x v="120"/>
    <x v="115"/>
    <x v="115"/>
    <x v="118"/>
    <x v="121"/>
    <x v="121"/>
    <x v="1"/>
    <x v="121"/>
  </r>
  <r>
    <x v="122"/>
    <x v="1"/>
    <x v="108"/>
    <x v="0"/>
    <x v="5"/>
    <x v="5"/>
    <x v="121"/>
    <x v="116"/>
    <x v="116"/>
    <x v="119"/>
    <x v="122"/>
    <x v="122"/>
    <x v="0"/>
    <x v="122"/>
  </r>
  <r>
    <x v="123"/>
    <x v="0"/>
    <x v="91"/>
    <x v="1"/>
    <x v="7"/>
    <x v="8"/>
    <x v="122"/>
    <x v="117"/>
    <x v="117"/>
    <x v="120"/>
    <x v="123"/>
    <x v="123"/>
    <x v="2"/>
    <x v="123"/>
  </r>
  <r>
    <x v="124"/>
    <x v="2"/>
    <x v="89"/>
    <x v="0"/>
    <x v="3"/>
    <x v="6"/>
    <x v="123"/>
    <x v="118"/>
    <x v="118"/>
    <x v="121"/>
    <x v="124"/>
    <x v="124"/>
    <x v="0"/>
    <x v="124"/>
  </r>
  <r>
    <x v="125"/>
    <x v="2"/>
    <x v="54"/>
    <x v="0"/>
    <x v="0"/>
    <x v="0"/>
    <x v="124"/>
    <x v="79"/>
    <x v="119"/>
    <x v="122"/>
    <x v="125"/>
    <x v="125"/>
    <x v="4"/>
    <x v="125"/>
  </r>
  <r>
    <x v="126"/>
    <x v="3"/>
    <x v="109"/>
    <x v="3"/>
    <x v="1"/>
    <x v="1"/>
    <x v="125"/>
    <x v="87"/>
    <x v="120"/>
    <x v="123"/>
    <x v="126"/>
    <x v="126"/>
    <x v="2"/>
    <x v="126"/>
  </r>
  <r>
    <x v="127"/>
    <x v="3"/>
    <x v="110"/>
    <x v="0"/>
    <x v="3"/>
    <x v="6"/>
    <x v="126"/>
    <x v="119"/>
    <x v="121"/>
    <x v="124"/>
    <x v="127"/>
    <x v="127"/>
    <x v="1"/>
    <x v="127"/>
  </r>
  <r>
    <x v="128"/>
    <x v="1"/>
    <x v="56"/>
    <x v="3"/>
    <x v="9"/>
    <x v="7"/>
    <x v="127"/>
    <x v="3"/>
    <x v="122"/>
    <x v="125"/>
    <x v="128"/>
    <x v="128"/>
    <x v="4"/>
    <x v="128"/>
  </r>
  <r>
    <x v="129"/>
    <x v="3"/>
    <x v="111"/>
    <x v="0"/>
    <x v="3"/>
    <x v="6"/>
    <x v="128"/>
    <x v="120"/>
    <x v="123"/>
    <x v="126"/>
    <x v="129"/>
    <x v="129"/>
    <x v="2"/>
    <x v="129"/>
  </r>
  <r>
    <x v="130"/>
    <x v="0"/>
    <x v="58"/>
    <x v="3"/>
    <x v="0"/>
    <x v="0"/>
    <x v="129"/>
    <x v="121"/>
    <x v="124"/>
    <x v="6"/>
    <x v="130"/>
    <x v="130"/>
    <x v="4"/>
    <x v="130"/>
  </r>
  <r>
    <x v="131"/>
    <x v="2"/>
    <x v="43"/>
    <x v="2"/>
    <x v="2"/>
    <x v="2"/>
    <x v="130"/>
    <x v="122"/>
    <x v="112"/>
    <x v="127"/>
    <x v="131"/>
    <x v="131"/>
    <x v="1"/>
    <x v="131"/>
  </r>
  <r>
    <x v="132"/>
    <x v="1"/>
    <x v="112"/>
    <x v="1"/>
    <x v="2"/>
    <x v="2"/>
    <x v="131"/>
    <x v="123"/>
    <x v="125"/>
    <x v="128"/>
    <x v="132"/>
    <x v="132"/>
    <x v="4"/>
    <x v="132"/>
  </r>
  <r>
    <x v="133"/>
    <x v="3"/>
    <x v="83"/>
    <x v="1"/>
    <x v="9"/>
    <x v="7"/>
    <x v="132"/>
    <x v="124"/>
    <x v="126"/>
    <x v="129"/>
    <x v="133"/>
    <x v="133"/>
    <x v="3"/>
    <x v="133"/>
  </r>
  <r>
    <x v="134"/>
    <x v="3"/>
    <x v="59"/>
    <x v="0"/>
    <x v="3"/>
    <x v="6"/>
    <x v="133"/>
    <x v="125"/>
    <x v="127"/>
    <x v="130"/>
    <x v="134"/>
    <x v="134"/>
    <x v="4"/>
    <x v="134"/>
  </r>
  <r>
    <x v="135"/>
    <x v="3"/>
    <x v="113"/>
    <x v="3"/>
    <x v="9"/>
    <x v="7"/>
    <x v="134"/>
    <x v="126"/>
    <x v="77"/>
    <x v="131"/>
    <x v="135"/>
    <x v="135"/>
    <x v="1"/>
    <x v="135"/>
  </r>
  <r>
    <x v="136"/>
    <x v="0"/>
    <x v="114"/>
    <x v="0"/>
    <x v="4"/>
    <x v="4"/>
    <x v="135"/>
    <x v="7"/>
    <x v="128"/>
    <x v="62"/>
    <x v="136"/>
    <x v="136"/>
    <x v="1"/>
    <x v="136"/>
  </r>
  <r>
    <x v="137"/>
    <x v="2"/>
    <x v="115"/>
    <x v="3"/>
    <x v="3"/>
    <x v="3"/>
    <x v="136"/>
    <x v="127"/>
    <x v="8"/>
    <x v="132"/>
    <x v="137"/>
    <x v="137"/>
    <x v="2"/>
    <x v="137"/>
  </r>
  <r>
    <x v="138"/>
    <x v="3"/>
    <x v="61"/>
    <x v="1"/>
    <x v="10"/>
    <x v="10"/>
    <x v="137"/>
    <x v="128"/>
    <x v="129"/>
    <x v="133"/>
    <x v="138"/>
    <x v="138"/>
    <x v="4"/>
    <x v="138"/>
  </r>
  <r>
    <x v="139"/>
    <x v="1"/>
    <x v="116"/>
    <x v="2"/>
    <x v="4"/>
    <x v="4"/>
    <x v="138"/>
    <x v="129"/>
    <x v="130"/>
    <x v="134"/>
    <x v="139"/>
    <x v="139"/>
    <x v="0"/>
    <x v="139"/>
  </r>
  <r>
    <x v="140"/>
    <x v="2"/>
    <x v="65"/>
    <x v="1"/>
    <x v="0"/>
    <x v="0"/>
    <x v="139"/>
    <x v="130"/>
    <x v="131"/>
    <x v="135"/>
    <x v="140"/>
    <x v="140"/>
    <x v="4"/>
    <x v="140"/>
  </r>
  <r>
    <x v="141"/>
    <x v="0"/>
    <x v="104"/>
    <x v="2"/>
    <x v="10"/>
    <x v="10"/>
    <x v="140"/>
    <x v="131"/>
    <x v="65"/>
    <x v="130"/>
    <x v="141"/>
    <x v="141"/>
    <x v="2"/>
    <x v="141"/>
  </r>
  <r>
    <x v="142"/>
    <x v="1"/>
    <x v="66"/>
    <x v="1"/>
    <x v="0"/>
    <x v="0"/>
    <x v="141"/>
    <x v="132"/>
    <x v="132"/>
    <x v="136"/>
    <x v="142"/>
    <x v="142"/>
    <x v="4"/>
    <x v="142"/>
  </r>
  <r>
    <x v="143"/>
    <x v="1"/>
    <x v="117"/>
    <x v="1"/>
    <x v="4"/>
    <x v="4"/>
    <x v="142"/>
    <x v="133"/>
    <x v="133"/>
    <x v="137"/>
    <x v="143"/>
    <x v="143"/>
    <x v="0"/>
    <x v="143"/>
  </r>
  <r>
    <x v="144"/>
    <x v="2"/>
    <x v="79"/>
    <x v="3"/>
    <x v="5"/>
    <x v="5"/>
    <x v="143"/>
    <x v="134"/>
    <x v="134"/>
    <x v="138"/>
    <x v="144"/>
    <x v="144"/>
    <x v="4"/>
    <x v="144"/>
  </r>
  <r>
    <x v="145"/>
    <x v="0"/>
    <x v="118"/>
    <x v="2"/>
    <x v="4"/>
    <x v="4"/>
    <x v="144"/>
    <x v="135"/>
    <x v="135"/>
    <x v="139"/>
    <x v="145"/>
    <x v="145"/>
    <x v="1"/>
    <x v="145"/>
  </r>
  <r>
    <x v="146"/>
    <x v="0"/>
    <x v="119"/>
    <x v="0"/>
    <x v="8"/>
    <x v="9"/>
    <x v="145"/>
    <x v="136"/>
    <x v="136"/>
    <x v="140"/>
    <x v="146"/>
    <x v="146"/>
    <x v="3"/>
    <x v="146"/>
  </r>
  <r>
    <x v="147"/>
    <x v="1"/>
    <x v="120"/>
    <x v="1"/>
    <x v="10"/>
    <x v="10"/>
    <x v="146"/>
    <x v="137"/>
    <x v="137"/>
    <x v="141"/>
    <x v="147"/>
    <x v="147"/>
    <x v="0"/>
    <x v="147"/>
  </r>
  <r>
    <x v="148"/>
    <x v="1"/>
    <x v="121"/>
    <x v="2"/>
    <x v="3"/>
    <x v="3"/>
    <x v="147"/>
    <x v="138"/>
    <x v="138"/>
    <x v="142"/>
    <x v="148"/>
    <x v="148"/>
    <x v="3"/>
    <x v="148"/>
  </r>
  <r>
    <x v="149"/>
    <x v="1"/>
    <x v="122"/>
    <x v="3"/>
    <x v="0"/>
    <x v="0"/>
    <x v="64"/>
    <x v="139"/>
    <x v="139"/>
    <x v="143"/>
    <x v="149"/>
    <x v="149"/>
    <x v="2"/>
    <x v="149"/>
  </r>
  <r>
    <x v="150"/>
    <x v="1"/>
    <x v="32"/>
    <x v="3"/>
    <x v="7"/>
    <x v="8"/>
    <x v="148"/>
    <x v="140"/>
    <x v="140"/>
    <x v="144"/>
    <x v="150"/>
    <x v="150"/>
    <x v="1"/>
    <x v="150"/>
  </r>
  <r>
    <x v="151"/>
    <x v="1"/>
    <x v="123"/>
    <x v="0"/>
    <x v="2"/>
    <x v="2"/>
    <x v="149"/>
    <x v="141"/>
    <x v="77"/>
    <x v="145"/>
    <x v="151"/>
    <x v="151"/>
    <x v="0"/>
    <x v="151"/>
  </r>
  <r>
    <x v="152"/>
    <x v="0"/>
    <x v="112"/>
    <x v="3"/>
    <x v="0"/>
    <x v="0"/>
    <x v="150"/>
    <x v="142"/>
    <x v="141"/>
    <x v="146"/>
    <x v="152"/>
    <x v="152"/>
    <x v="4"/>
    <x v="152"/>
  </r>
  <r>
    <x v="153"/>
    <x v="3"/>
    <x v="124"/>
    <x v="1"/>
    <x v="6"/>
    <x v="7"/>
    <x v="151"/>
    <x v="143"/>
    <x v="106"/>
    <x v="147"/>
    <x v="153"/>
    <x v="153"/>
    <x v="1"/>
    <x v="153"/>
  </r>
  <r>
    <x v="154"/>
    <x v="0"/>
    <x v="78"/>
    <x v="0"/>
    <x v="3"/>
    <x v="6"/>
    <x v="152"/>
    <x v="144"/>
    <x v="142"/>
    <x v="148"/>
    <x v="154"/>
    <x v="154"/>
    <x v="0"/>
    <x v="154"/>
  </r>
  <r>
    <x v="155"/>
    <x v="3"/>
    <x v="49"/>
    <x v="1"/>
    <x v="5"/>
    <x v="5"/>
    <x v="153"/>
    <x v="145"/>
    <x v="73"/>
    <x v="149"/>
    <x v="155"/>
    <x v="155"/>
    <x v="2"/>
    <x v="155"/>
  </r>
  <r>
    <x v="156"/>
    <x v="0"/>
    <x v="125"/>
    <x v="1"/>
    <x v="8"/>
    <x v="9"/>
    <x v="154"/>
    <x v="146"/>
    <x v="143"/>
    <x v="150"/>
    <x v="156"/>
    <x v="156"/>
    <x v="1"/>
    <x v="156"/>
  </r>
  <r>
    <x v="157"/>
    <x v="3"/>
    <x v="126"/>
    <x v="2"/>
    <x v="5"/>
    <x v="5"/>
    <x v="155"/>
    <x v="147"/>
    <x v="144"/>
    <x v="151"/>
    <x v="157"/>
    <x v="157"/>
    <x v="3"/>
    <x v="157"/>
  </r>
  <r>
    <x v="158"/>
    <x v="0"/>
    <x v="127"/>
    <x v="2"/>
    <x v="2"/>
    <x v="2"/>
    <x v="156"/>
    <x v="148"/>
    <x v="145"/>
    <x v="152"/>
    <x v="158"/>
    <x v="158"/>
    <x v="4"/>
    <x v="158"/>
  </r>
  <r>
    <x v="159"/>
    <x v="0"/>
    <x v="128"/>
    <x v="1"/>
    <x v="2"/>
    <x v="2"/>
    <x v="157"/>
    <x v="149"/>
    <x v="146"/>
    <x v="153"/>
    <x v="159"/>
    <x v="159"/>
    <x v="1"/>
    <x v="159"/>
  </r>
  <r>
    <x v="160"/>
    <x v="1"/>
    <x v="129"/>
    <x v="2"/>
    <x v="1"/>
    <x v="1"/>
    <x v="158"/>
    <x v="150"/>
    <x v="68"/>
    <x v="154"/>
    <x v="160"/>
    <x v="160"/>
    <x v="4"/>
    <x v="160"/>
  </r>
  <r>
    <x v="161"/>
    <x v="0"/>
    <x v="130"/>
    <x v="1"/>
    <x v="8"/>
    <x v="9"/>
    <x v="159"/>
    <x v="151"/>
    <x v="147"/>
    <x v="155"/>
    <x v="161"/>
    <x v="161"/>
    <x v="2"/>
    <x v="161"/>
  </r>
  <r>
    <x v="162"/>
    <x v="2"/>
    <x v="131"/>
    <x v="2"/>
    <x v="9"/>
    <x v="7"/>
    <x v="160"/>
    <x v="152"/>
    <x v="148"/>
    <x v="156"/>
    <x v="162"/>
    <x v="162"/>
    <x v="0"/>
    <x v="162"/>
  </r>
  <r>
    <x v="163"/>
    <x v="2"/>
    <x v="132"/>
    <x v="0"/>
    <x v="0"/>
    <x v="0"/>
    <x v="161"/>
    <x v="153"/>
    <x v="30"/>
    <x v="114"/>
    <x v="163"/>
    <x v="163"/>
    <x v="1"/>
    <x v="163"/>
  </r>
  <r>
    <x v="164"/>
    <x v="2"/>
    <x v="133"/>
    <x v="1"/>
    <x v="5"/>
    <x v="5"/>
    <x v="162"/>
    <x v="63"/>
    <x v="149"/>
    <x v="157"/>
    <x v="164"/>
    <x v="164"/>
    <x v="2"/>
    <x v="164"/>
  </r>
  <r>
    <x v="165"/>
    <x v="3"/>
    <x v="134"/>
    <x v="3"/>
    <x v="0"/>
    <x v="0"/>
    <x v="163"/>
    <x v="154"/>
    <x v="150"/>
    <x v="158"/>
    <x v="165"/>
    <x v="165"/>
    <x v="0"/>
    <x v="165"/>
  </r>
  <r>
    <x v="166"/>
    <x v="1"/>
    <x v="41"/>
    <x v="0"/>
    <x v="0"/>
    <x v="0"/>
    <x v="164"/>
    <x v="155"/>
    <x v="69"/>
    <x v="159"/>
    <x v="166"/>
    <x v="166"/>
    <x v="1"/>
    <x v="166"/>
  </r>
  <r>
    <x v="167"/>
    <x v="3"/>
    <x v="135"/>
    <x v="1"/>
    <x v="9"/>
    <x v="7"/>
    <x v="165"/>
    <x v="56"/>
    <x v="151"/>
    <x v="160"/>
    <x v="167"/>
    <x v="167"/>
    <x v="2"/>
    <x v="167"/>
  </r>
  <r>
    <x v="168"/>
    <x v="1"/>
    <x v="68"/>
    <x v="0"/>
    <x v="7"/>
    <x v="8"/>
    <x v="166"/>
    <x v="156"/>
    <x v="143"/>
    <x v="9"/>
    <x v="168"/>
    <x v="168"/>
    <x v="4"/>
    <x v="168"/>
  </r>
  <r>
    <x v="169"/>
    <x v="3"/>
    <x v="136"/>
    <x v="2"/>
    <x v="7"/>
    <x v="8"/>
    <x v="167"/>
    <x v="157"/>
    <x v="11"/>
    <x v="161"/>
    <x v="169"/>
    <x v="169"/>
    <x v="2"/>
    <x v="169"/>
  </r>
  <r>
    <x v="170"/>
    <x v="2"/>
    <x v="71"/>
    <x v="1"/>
    <x v="10"/>
    <x v="10"/>
    <x v="168"/>
    <x v="158"/>
    <x v="152"/>
    <x v="162"/>
    <x v="170"/>
    <x v="170"/>
    <x v="4"/>
    <x v="170"/>
  </r>
  <r>
    <x v="171"/>
    <x v="2"/>
    <x v="137"/>
    <x v="1"/>
    <x v="8"/>
    <x v="9"/>
    <x v="169"/>
    <x v="159"/>
    <x v="153"/>
    <x v="163"/>
    <x v="171"/>
    <x v="171"/>
    <x v="0"/>
    <x v="171"/>
  </r>
  <r>
    <x v="172"/>
    <x v="3"/>
    <x v="138"/>
    <x v="2"/>
    <x v="4"/>
    <x v="4"/>
    <x v="170"/>
    <x v="160"/>
    <x v="154"/>
    <x v="164"/>
    <x v="172"/>
    <x v="172"/>
    <x v="3"/>
    <x v="172"/>
  </r>
  <r>
    <x v="173"/>
    <x v="2"/>
    <x v="28"/>
    <x v="1"/>
    <x v="7"/>
    <x v="8"/>
    <x v="171"/>
    <x v="161"/>
    <x v="155"/>
    <x v="165"/>
    <x v="173"/>
    <x v="173"/>
    <x v="1"/>
    <x v="173"/>
  </r>
  <r>
    <x v="174"/>
    <x v="2"/>
    <x v="8"/>
    <x v="3"/>
    <x v="9"/>
    <x v="7"/>
    <x v="172"/>
    <x v="162"/>
    <x v="156"/>
    <x v="166"/>
    <x v="174"/>
    <x v="174"/>
    <x v="4"/>
    <x v="174"/>
  </r>
  <r>
    <x v="175"/>
    <x v="3"/>
    <x v="139"/>
    <x v="1"/>
    <x v="4"/>
    <x v="4"/>
    <x v="173"/>
    <x v="163"/>
    <x v="157"/>
    <x v="167"/>
    <x v="175"/>
    <x v="175"/>
    <x v="3"/>
    <x v="175"/>
  </r>
  <r>
    <x v="176"/>
    <x v="0"/>
    <x v="127"/>
    <x v="0"/>
    <x v="10"/>
    <x v="10"/>
    <x v="174"/>
    <x v="164"/>
    <x v="154"/>
    <x v="168"/>
    <x v="176"/>
    <x v="176"/>
    <x v="4"/>
    <x v="176"/>
  </r>
  <r>
    <x v="177"/>
    <x v="0"/>
    <x v="140"/>
    <x v="0"/>
    <x v="3"/>
    <x v="3"/>
    <x v="175"/>
    <x v="165"/>
    <x v="158"/>
    <x v="169"/>
    <x v="177"/>
    <x v="177"/>
    <x v="3"/>
    <x v="177"/>
  </r>
  <r>
    <x v="178"/>
    <x v="1"/>
    <x v="31"/>
    <x v="2"/>
    <x v="5"/>
    <x v="5"/>
    <x v="176"/>
    <x v="166"/>
    <x v="159"/>
    <x v="170"/>
    <x v="178"/>
    <x v="178"/>
    <x v="1"/>
    <x v="178"/>
  </r>
  <r>
    <x v="179"/>
    <x v="1"/>
    <x v="141"/>
    <x v="0"/>
    <x v="9"/>
    <x v="7"/>
    <x v="177"/>
    <x v="167"/>
    <x v="160"/>
    <x v="171"/>
    <x v="179"/>
    <x v="179"/>
    <x v="1"/>
    <x v="179"/>
  </r>
  <r>
    <x v="180"/>
    <x v="3"/>
    <x v="31"/>
    <x v="3"/>
    <x v="3"/>
    <x v="6"/>
    <x v="178"/>
    <x v="168"/>
    <x v="161"/>
    <x v="172"/>
    <x v="180"/>
    <x v="180"/>
    <x v="1"/>
    <x v="180"/>
  </r>
  <r>
    <x v="181"/>
    <x v="1"/>
    <x v="11"/>
    <x v="2"/>
    <x v="3"/>
    <x v="6"/>
    <x v="179"/>
    <x v="169"/>
    <x v="162"/>
    <x v="96"/>
    <x v="181"/>
    <x v="181"/>
    <x v="4"/>
    <x v="181"/>
  </r>
  <r>
    <x v="182"/>
    <x v="3"/>
    <x v="22"/>
    <x v="0"/>
    <x v="6"/>
    <x v="7"/>
    <x v="180"/>
    <x v="170"/>
    <x v="163"/>
    <x v="173"/>
    <x v="182"/>
    <x v="182"/>
    <x v="4"/>
    <x v="182"/>
  </r>
  <r>
    <x v="183"/>
    <x v="2"/>
    <x v="142"/>
    <x v="3"/>
    <x v="2"/>
    <x v="2"/>
    <x v="181"/>
    <x v="171"/>
    <x v="103"/>
    <x v="174"/>
    <x v="183"/>
    <x v="183"/>
    <x v="3"/>
    <x v="183"/>
  </r>
  <r>
    <x v="184"/>
    <x v="1"/>
    <x v="27"/>
    <x v="3"/>
    <x v="1"/>
    <x v="1"/>
    <x v="182"/>
    <x v="83"/>
    <x v="116"/>
    <x v="175"/>
    <x v="184"/>
    <x v="184"/>
    <x v="4"/>
    <x v="184"/>
  </r>
  <r>
    <x v="185"/>
    <x v="2"/>
    <x v="96"/>
    <x v="2"/>
    <x v="6"/>
    <x v="7"/>
    <x v="183"/>
    <x v="168"/>
    <x v="164"/>
    <x v="176"/>
    <x v="185"/>
    <x v="185"/>
    <x v="0"/>
    <x v="185"/>
  </r>
  <r>
    <x v="186"/>
    <x v="2"/>
    <x v="143"/>
    <x v="0"/>
    <x v="10"/>
    <x v="10"/>
    <x v="184"/>
    <x v="172"/>
    <x v="165"/>
    <x v="177"/>
    <x v="186"/>
    <x v="186"/>
    <x v="0"/>
    <x v="186"/>
  </r>
  <r>
    <x v="187"/>
    <x v="2"/>
    <x v="144"/>
    <x v="1"/>
    <x v="8"/>
    <x v="9"/>
    <x v="185"/>
    <x v="173"/>
    <x v="166"/>
    <x v="178"/>
    <x v="187"/>
    <x v="187"/>
    <x v="0"/>
    <x v="187"/>
  </r>
  <r>
    <x v="188"/>
    <x v="1"/>
    <x v="145"/>
    <x v="3"/>
    <x v="5"/>
    <x v="5"/>
    <x v="186"/>
    <x v="174"/>
    <x v="167"/>
    <x v="179"/>
    <x v="188"/>
    <x v="188"/>
    <x v="4"/>
    <x v="188"/>
  </r>
  <r>
    <x v="189"/>
    <x v="3"/>
    <x v="39"/>
    <x v="3"/>
    <x v="2"/>
    <x v="2"/>
    <x v="187"/>
    <x v="153"/>
    <x v="168"/>
    <x v="8"/>
    <x v="189"/>
    <x v="189"/>
    <x v="4"/>
    <x v="189"/>
  </r>
  <r>
    <x v="190"/>
    <x v="1"/>
    <x v="48"/>
    <x v="0"/>
    <x v="3"/>
    <x v="3"/>
    <x v="188"/>
    <x v="175"/>
    <x v="169"/>
    <x v="180"/>
    <x v="190"/>
    <x v="190"/>
    <x v="4"/>
    <x v="190"/>
  </r>
  <r>
    <x v="191"/>
    <x v="0"/>
    <x v="119"/>
    <x v="2"/>
    <x v="8"/>
    <x v="9"/>
    <x v="189"/>
    <x v="176"/>
    <x v="170"/>
    <x v="181"/>
    <x v="191"/>
    <x v="191"/>
    <x v="2"/>
    <x v="191"/>
  </r>
  <r>
    <x v="192"/>
    <x v="0"/>
    <x v="51"/>
    <x v="2"/>
    <x v="9"/>
    <x v="7"/>
    <x v="190"/>
    <x v="177"/>
    <x v="171"/>
    <x v="182"/>
    <x v="192"/>
    <x v="192"/>
    <x v="4"/>
    <x v="192"/>
  </r>
  <r>
    <x v="193"/>
    <x v="2"/>
    <x v="82"/>
    <x v="3"/>
    <x v="4"/>
    <x v="4"/>
    <x v="191"/>
    <x v="178"/>
    <x v="172"/>
    <x v="183"/>
    <x v="193"/>
    <x v="193"/>
    <x v="0"/>
    <x v="193"/>
  </r>
  <r>
    <x v="194"/>
    <x v="2"/>
    <x v="146"/>
    <x v="1"/>
    <x v="0"/>
    <x v="0"/>
    <x v="192"/>
    <x v="179"/>
    <x v="173"/>
    <x v="184"/>
    <x v="194"/>
    <x v="194"/>
    <x v="2"/>
    <x v="194"/>
  </r>
  <r>
    <x v="195"/>
    <x v="3"/>
    <x v="147"/>
    <x v="3"/>
    <x v="2"/>
    <x v="2"/>
    <x v="193"/>
    <x v="180"/>
    <x v="146"/>
    <x v="185"/>
    <x v="195"/>
    <x v="195"/>
    <x v="1"/>
    <x v="195"/>
  </r>
  <r>
    <x v="196"/>
    <x v="2"/>
    <x v="148"/>
    <x v="3"/>
    <x v="2"/>
    <x v="2"/>
    <x v="194"/>
    <x v="181"/>
    <x v="174"/>
    <x v="167"/>
    <x v="196"/>
    <x v="196"/>
    <x v="4"/>
    <x v="196"/>
  </r>
  <r>
    <x v="197"/>
    <x v="2"/>
    <x v="149"/>
    <x v="0"/>
    <x v="10"/>
    <x v="10"/>
    <x v="195"/>
    <x v="182"/>
    <x v="175"/>
    <x v="186"/>
    <x v="197"/>
    <x v="197"/>
    <x v="4"/>
    <x v="197"/>
  </r>
  <r>
    <x v="198"/>
    <x v="0"/>
    <x v="99"/>
    <x v="3"/>
    <x v="0"/>
    <x v="0"/>
    <x v="196"/>
    <x v="183"/>
    <x v="173"/>
    <x v="116"/>
    <x v="198"/>
    <x v="198"/>
    <x v="0"/>
    <x v="198"/>
  </r>
  <r>
    <x v="199"/>
    <x v="1"/>
    <x v="150"/>
    <x v="2"/>
    <x v="3"/>
    <x v="6"/>
    <x v="197"/>
    <x v="184"/>
    <x v="176"/>
    <x v="187"/>
    <x v="199"/>
    <x v="199"/>
    <x v="0"/>
    <x v="199"/>
  </r>
  <r>
    <x v="200"/>
    <x v="2"/>
    <x v="151"/>
    <x v="3"/>
    <x v="6"/>
    <x v="7"/>
    <x v="198"/>
    <x v="185"/>
    <x v="177"/>
    <x v="188"/>
    <x v="200"/>
    <x v="200"/>
    <x v="0"/>
    <x v="200"/>
  </r>
  <r>
    <x v="201"/>
    <x v="2"/>
    <x v="13"/>
    <x v="0"/>
    <x v="1"/>
    <x v="1"/>
    <x v="199"/>
    <x v="186"/>
    <x v="2"/>
    <x v="189"/>
    <x v="201"/>
    <x v="201"/>
    <x v="2"/>
    <x v="201"/>
  </r>
  <r>
    <x v="202"/>
    <x v="0"/>
    <x v="121"/>
    <x v="2"/>
    <x v="1"/>
    <x v="1"/>
    <x v="200"/>
    <x v="187"/>
    <x v="178"/>
    <x v="190"/>
    <x v="202"/>
    <x v="202"/>
    <x v="3"/>
    <x v="202"/>
  </r>
  <r>
    <x v="203"/>
    <x v="3"/>
    <x v="152"/>
    <x v="1"/>
    <x v="8"/>
    <x v="9"/>
    <x v="201"/>
    <x v="188"/>
    <x v="105"/>
    <x v="191"/>
    <x v="203"/>
    <x v="203"/>
    <x v="2"/>
    <x v="203"/>
  </r>
  <r>
    <x v="204"/>
    <x v="3"/>
    <x v="153"/>
    <x v="3"/>
    <x v="5"/>
    <x v="5"/>
    <x v="202"/>
    <x v="189"/>
    <x v="179"/>
    <x v="192"/>
    <x v="204"/>
    <x v="204"/>
    <x v="1"/>
    <x v="204"/>
  </r>
  <r>
    <x v="205"/>
    <x v="2"/>
    <x v="154"/>
    <x v="1"/>
    <x v="3"/>
    <x v="6"/>
    <x v="203"/>
    <x v="190"/>
    <x v="26"/>
    <x v="193"/>
    <x v="205"/>
    <x v="205"/>
    <x v="4"/>
    <x v="205"/>
  </r>
  <r>
    <x v="206"/>
    <x v="0"/>
    <x v="155"/>
    <x v="3"/>
    <x v="2"/>
    <x v="2"/>
    <x v="204"/>
    <x v="191"/>
    <x v="48"/>
    <x v="194"/>
    <x v="206"/>
    <x v="206"/>
    <x v="2"/>
    <x v="206"/>
  </r>
  <r>
    <x v="207"/>
    <x v="2"/>
    <x v="38"/>
    <x v="1"/>
    <x v="8"/>
    <x v="9"/>
    <x v="205"/>
    <x v="192"/>
    <x v="180"/>
    <x v="195"/>
    <x v="207"/>
    <x v="207"/>
    <x v="3"/>
    <x v="207"/>
  </r>
  <r>
    <x v="208"/>
    <x v="3"/>
    <x v="156"/>
    <x v="0"/>
    <x v="2"/>
    <x v="2"/>
    <x v="206"/>
    <x v="193"/>
    <x v="181"/>
    <x v="196"/>
    <x v="208"/>
    <x v="208"/>
    <x v="4"/>
    <x v="208"/>
  </r>
  <r>
    <x v="209"/>
    <x v="2"/>
    <x v="157"/>
    <x v="0"/>
    <x v="2"/>
    <x v="2"/>
    <x v="207"/>
    <x v="194"/>
    <x v="182"/>
    <x v="197"/>
    <x v="209"/>
    <x v="209"/>
    <x v="4"/>
    <x v="209"/>
  </r>
  <r>
    <x v="210"/>
    <x v="1"/>
    <x v="120"/>
    <x v="3"/>
    <x v="2"/>
    <x v="2"/>
    <x v="208"/>
    <x v="195"/>
    <x v="183"/>
    <x v="198"/>
    <x v="210"/>
    <x v="210"/>
    <x v="1"/>
    <x v="210"/>
  </r>
  <r>
    <x v="211"/>
    <x v="3"/>
    <x v="124"/>
    <x v="3"/>
    <x v="3"/>
    <x v="6"/>
    <x v="209"/>
    <x v="196"/>
    <x v="184"/>
    <x v="199"/>
    <x v="211"/>
    <x v="211"/>
    <x v="3"/>
    <x v="211"/>
  </r>
  <r>
    <x v="212"/>
    <x v="2"/>
    <x v="158"/>
    <x v="0"/>
    <x v="8"/>
    <x v="9"/>
    <x v="210"/>
    <x v="197"/>
    <x v="101"/>
    <x v="200"/>
    <x v="212"/>
    <x v="212"/>
    <x v="4"/>
    <x v="212"/>
  </r>
  <r>
    <x v="213"/>
    <x v="2"/>
    <x v="159"/>
    <x v="3"/>
    <x v="10"/>
    <x v="10"/>
    <x v="211"/>
    <x v="198"/>
    <x v="185"/>
    <x v="201"/>
    <x v="213"/>
    <x v="213"/>
    <x v="3"/>
    <x v="213"/>
  </r>
  <r>
    <x v="214"/>
    <x v="0"/>
    <x v="160"/>
    <x v="0"/>
    <x v="8"/>
    <x v="9"/>
    <x v="212"/>
    <x v="199"/>
    <x v="186"/>
    <x v="202"/>
    <x v="214"/>
    <x v="214"/>
    <x v="4"/>
    <x v="214"/>
  </r>
  <r>
    <x v="215"/>
    <x v="1"/>
    <x v="161"/>
    <x v="2"/>
    <x v="3"/>
    <x v="6"/>
    <x v="213"/>
    <x v="200"/>
    <x v="187"/>
    <x v="203"/>
    <x v="215"/>
    <x v="215"/>
    <x v="4"/>
    <x v="215"/>
  </r>
  <r>
    <x v="216"/>
    <x v="1"/>
    <x v="43"/>
    <x v="0"/>
    <x v="7"/>
    <x v="8"/>
    <x v="214"/>
    <x v="201"/>
    <x v="188"/>
    <x v="204"/>
    <x v="216"/>
    <x v="216"/>
    <x v="1"/>
    <x v="216"/>
  </r>
  <r>
    <x v="217"/>
    <x v="2"/>
    <x v="162"/>
    <x v="2"/>
    <x v="3"/>
    <x v="6"/>
    <x v="215"/>
    <x v="202"/>
    <x v="84"/>
    <x v="205"/>
    <x v="217"/>
    <x v="217"/>
    <x v="3"/>
    <x v="217"/>
  </r>
  <r>
    <x v="218"/>
    <x v="3"/>
    <x v="163"/>
    <x v="0"/>
    <x v="1"/>
    <x v="1"/>
    <x v="216"/>
    <x v="203"/>
    <x v="48"/>
    <x v="206"/>
    <x v="218"/>
    <x v="218"/>
    <x v="1"/>
    <x v="218"/>
  </r>
  <r>
    <x v="219"/>
    <x v="1"/>
    <x v="164"/>
    <x v="3"/>
    <x v="7"/>
    <x v="8"/>
    <x v="217"/>
    <x v="204"/>
    <x v="189"/>
    <x v="207"/>
    <x v="219"/>
    <x v="219"/>
    <x v="3"/>
    <x v="219"/>
  </r>
  <r>
    <x v="220"/>
    <x v="0"/>
    <x v="111"/>
    <x v="0"/>
    <x v="10"/>
    <x v="10"/>
    <x v="218"/>
    <x v="205"/>
    <x v="38"/>
    <x v="208"/>
    <x v="220"/>
    <x v="220"/>
    <x v="1"/>
    <x v="220"/>
  </r>
  <r>
    <x v="221"/>
    <x v="1"/>
    <x v="165"/>
    <x v="2"/>
    <x v="3"/>
    <x v="6"/>
    <x v="219"/>
    <x v="206"/>
    <x v="190"/>
    <x v="209"/>
    <x v="221"/>
    <x v="221"/>
    <x v="3"/>
    <x v="221"/>
  </r>
  <r>
    <x v="222"/>
    <x v="2"/>
    <x v="166"/>
    <x v="3"/>
    <x v="0"/>
    <x v="0"/>
    <x v="220"/>
    <x v="207"/>
    <x v="20"/>
    <x v="210"/>
    <x v="222"/>
    <x v="222"/>
    <x v="1"/>
    <x v="222"/>
  </r>
  <r>
    <x v="223"/>
    <x v="2"/>
    <x v="130"/>
    <x v="3"/>
    <x v="5"/>
    <x v="5"/>
    <x v="221"/>
    <x v="74"/>
    <x v="191"/>
    <x v="211"/>
    <x v="223"/>
    <x v="223"/>
    <x v="1"/>
    <x v="223"/>
  </r>
  <r>
    <x v="224"/>
    <x v="1"/>
    <x v="80"/>
    <x v="0"/>
    <x v="3"/>
    <x v="6"/>
    <x v="222"/>
    <x v="208"/>
    <x v="130"/>
    <x v="212"/>
    <x v="224"/>
    <x v="224"/>
    <x v="3"/>
    <x v="224"/>
  </r>
  <r>
    <x v="225"/>
    <x v="3"/>
    <x v="167"/>
    <x v="2"/>
    <x v="3"/>
    <x v="6"/>
    <x v="223"/>
    <x v="209"/>
    <x v="192"/>
    <x v="213"/>
    <x v="225"/>
    <x v="225"/>
    <x v="2"/>
    <x v="225"/>
  </r>
  <r>
    <x v="226"/>
    <x v="0"/>
    <x v="168"/>
    <x v="0"/>
    <x v="2"/>
    <x v="2"/>
    <x v="224"/>
    <x v="210"/>
    <x v="193"/>
    <x v="214"/>
    <x v="226"/>
    <x v="226"/>
    <x v="4"/>
    <x v="226"/>
  </r>
  <r>
    <x v="227"/>
    <x v="1"/>
    <x v="134"/>
    <x v="3"/>
    <x v="5"/>
    <x v="5"/>
    <x v="225"/>
    <x v="211"/>
    <x v="194"/>
    <x v="215"/>
    <x v="227"/>
    <x v="227"/>
    <x v="1"/>
    <x v="227"/>
  </r>
  <r>
    <x v="228"/>
    <x v="1"/>
    <x v="169"/>
    <x v="1"/>
    <x v="7"/>
    <x v="8"/>
    <x v="226"/>
    <x v="212"/>
    <x v="195"/>
    <x v="216"/>
    <x v="228"/>
    <x v="228"/>
    <x v="1"/>
    <x v="228"/>
  </r>
  <r>
    <x v="229"/>
    <x v="3"/>
    <x v="170"/>
    <x v="3"/>
    <x v="0"/>
    <x v="0"/>
    <x v="227"/>
    <x v="213"/>
    <x v="196"/>
    <x v="217"/>
    <x v="229"/>
    <x v="229"/>
    <x v="1"/>
    <x v="229"/>
  </r>
  <r>
    <x v="230"/>
    <x v="2"/>
    <x v="171"/>
    <x v="1"/>
    <x v="8"/>
    <x v="9"/>
    <x v="228"/>
    <x v="214"/>
    <x v="197"/>
    <x v="218"/>
    <x v="230"/>
    <x v="230"/>
    <x v="4"/>
    <x v="230"/>
  </r>
  <r>
    <x v="231"/>
    <x v="1"/>
    <x v="152"/>
    <x v="2"/>
    <x v="10"/>
    <x v="10"/>
    <x v="229"/>
    <x v="92"/>
    <x v="5"/>
    <x v="219"/>
    <x v="231"/>
    <x v="231"/>
    <x v="3"/>
    <x v="231"/>
  </r>
  <r>
    <x v="232"/>
    <x v="3"/>
    <x v="172"/>
    <x v="0"/>
    <x v="2"/>
    <x v="2"/>
    <x v="230"/>
    <x v="215"/>
    <x v="198"/>
    <x v="220"/>
    <x v="232"/>
    <x v="232"/>
    <x v="0"/>
    <x v="232"/>
  </r>
  <r>
    <x v="233"/>
    <x v="3"/>
    <x v="173"/>
    <x v="2"/>
    <x v="0"/>
    <x v="0"/>
    <x v="231"/>
    <x v="216"/>
    <x v="199"/>
    <x v="221"/>
    <x v="233"/>
    <x v="233"/>
    <x v="4"/>
    <x v="233"/>
  </r>
  <r>
    <x v="234"/>
    <x v="0"/>
    <x v="174"/>
    <x v="0"/>
    <x v="5"/>
    <x v="5"/>
    <x v="232"/>
    <x v="217"/>
    <x v="26"/>
    <x v="222"/>
    <x v="234"/>
    <x v="234"/>
    <x v="0"/>
    <x v="234"/>
  </r>
  <r>
    <x v="235"/>
    <x v="2"/>
    <x v="175"/>
    <x v="1"/>
    <x v="10"/>
    <x v="10"/>
    <x v="233"/>
    <x v="218"/>
    <x v="200"/>
    <x v="223"/>
    <x v="235"/>
    <x v="235"/>
    <x v="2"/>
    <x v="235"/>
  </r>
  <r>
    <x v="236"/>
    <x v="0"/>
    <x v="119"/>
    <x v="2"/>
    <x v="0"/>
    <x v="0"/>
    <x v="234"/>
    <x v="193"/>
    <x v="201"/>
    <x v="224"/>
    <x v="236"/>
    <x v="236"/>
    <x v="0"/>
    <x v="236"/>
  </r>
  <r>
    <x v="237"/>
    <x v="3"/>
    <x v="176"/>
    <x v="3"/>
    <x v="7"/>
    <x v="8"/>
    <x v="235"/>
    <x v="219"/>
    <x v="202"/>
    <x v="225"/>
    <x v="237"/>
    <x v="237"/>
    <x v="2"/>
    <x v="237"/>
  </r>
  <r>
    <x v="238"/>
    <x v="2"/>
    <x v="177"/>
    <x v="1"/>
    <x v="4"/>
    <x v="4"/>
    <x v="236"/>
    <x v="220"/>
    <x v="149"/>
    <x v="226"/>
    <x v="238"/>
    <x v="238"/>
    <x v="2"/>
    <x v="238"/>
  </r>
  <r>
    <x v="239"/>
    <x v="3"/>
    <x v="92"/>
    <x v="1"/>
    <x v="5"/>
    <x v="5"/>
    <x v="237"/>
    <x v="221"/>
    <x v="24"/>
    <x v="157"/>
    <x v="239"/>
    <x v="239"/>
    <x v="3"/>
    <x v="239"/>
  </r>
  <r>
    <x v="240"/>
    <x v="2"/>
    <x v="178"/>
    <x v="1"/>
    <x v="1"/>
    <x v="1"/>
    <x v="238"/>
    <x v="222"/>
    <x v="63"/>
    <x v="227"/>
    <x v="240"/>
    <x v="240"/>
    <x v="4"/>
    <x v="240"/>
  </r>
  <r>
    <x v="241"/>
    <x v="2"/>
    <x v="35"/>
    <x v="1"/>
    <x v="9"/>
    <x v="7"/>
    <x v="239"/>
    <x v="223"/>
    <x v="203"/>
    <x v="228"/>
    <x v="241"/>
    <x v="241"/>
    <x v="0"/>
    <x v="241"/>
  </r>
  <r>
    <x v="242"/>
    <x v="1"/>
    <x v="179"/>
    <x v="1"/>
    <x v="10"/>
    <x v="10"/>
    <x v="240"/>
    <x v="224"/>
    <x v="204"/>
    <x v="229"/>
    <x v="242"/>
    <x v="242"/>
    <x v="0"/>
    <x v="242"/>
  </r>
  <r>
    <x v="243"/>
    <x v="1"/>
    <x v="129"/>
    <x v="2"/>
    <x v="8"/>
    <x v="9"/>
    <x v="241"/>
    <x v="225"/>
    <x v="205"/>
    <x v="230"/>
    <x v="188"/>
    <x v="243"/>
    <x v="4"/>
    <x v="243"/>
  </r>
  <r>
    <x v="244"/>
    <x v="3"/>
    <x v="180"/>
    <x v="2"/>
    <x v="7"/>
    <x v="8"/>
    <x v="242"/>
    <x v="226"/>
    <x v="206"/>
    <x v="231"/>
    <x v="243"/>
    <x v="244"/>
    <x v="1"/>
    <x v="244"/>
  </r>
  <r>
    <x v="245"/>
    <x v="2"/>
    <x v="44"/>
    <x v="1"/>
    <x v="4"/>
    <x v="4"/>
    <x v="243"/>
    <x v="54"/>
    <x v="207"/>
    <x v="232"/>
    <x v="244"/>
    <x v="245"/>
    <x v="1"/>
    <x v="245"/>
  </r>
  <r>
    <x v="246"/>
    <x v="2"/>
    <x v="7"/>
    <x v="2"/>
    <x v="4"/>
    <x v="4"/>
    <x v="244"/>
    <x v="227"/>
    <x v="208"/>
    <x v="233"/>
    <x v="245"/>
    <x v="246"/>
    <x v="1"/>
    <x v="246"/>
  </r>
  <r>
    <x v="247"/>
    <x v="2"/>
    <x v="181"/>
    <x v="2"/>
    <x v="10"/>
    <x v="10"/>
    <x v="245"/>
    <x v="228"/>
    <x v="209"/>
    <x v="234"/>
    <x v="246"/>
    <x v="247"/>
    <x v="1"/>
    <x v="247"/>
  </r>
  <r>
    <x v="248"/>
    <x v="1"/>
    <x v="60"/>
    <x v="0"/>
    <x v="5"/>
    <x v="5"/>
    <x v="246"/>
    <x v="229"/>
    <x v="210"/>
    <x v="235"/>
    <x v="247"/>
    <x v="248"/>
    <x v="2"/>
    <x v="248"/>
  </r>
  <r>
    <x v="249"/>
    <x v="1"/>
    <x v="26"/>
    <x v="0"/>
    <x v="10"/>
    <x v="10"/>
    <x v="247"/>
    <x v="230"/>
    <x v="211"/>
    <x v="236"/>
    <x v="248"/>
    <x v="249"/>
    <x v="3"/>
    <x v="249"/>
  </r>
  <r>
    <x v="250"/>
    <x v="1"/>
    <x v="146"/>
    <x v="3"/>
    <x v="8"/>
    <x v="9"/>
    <x v="248"/>
    <x v="231"/>
    <x v="110"/>
    <x v="237"/>
    <x v="249"/>
    <x v="250"/>
    <x v="2"/>
    <x v="250"/>
  </r>
  <r>
    <x v="251"/>
    <x v="3"/>
    <x v="182"/>
    <x v="0"/>
    <x v="8"/>
    <x v="9"/>
    <x v="249"/>
    <x v="232"/>
    <x v="212"/>
    <x v="238"/>
    <x v="250"/>
    <x v="251"/>
    <x v="3"/>
    <x v="251"/>
  </r>
  <r>
    <x v="252"/>
    <x v="1"/>
    <x v="183"/>
    <x v="3"/>
    <x v="4"/>
    <x v="4"/>
    <x v="250"/>
    <x v="233"/>
    <x v="213"/>
    <x v="239"/>
    <x v="251"/>
    <x v="252"/>
    <x v="4"/>
    <x v="252"/>
  </r>
  <r>
    <x v="253"/>
    <x v="3"/>
    <x v="124"/>
    <x v="2"/>
    <x v="0"/>
    <x v="0"/>
    <x v="251"/>
    <x v="234"/>
    <x v="214"/>
    <x v="240"/>
    <x v="252"/>
    <x v="253"/>
    <x v="1"/>
    <x v="253"/>
  </r>
  <r>
    <x v="254"/>
    <x v="2"/>
    <x v="184"/>
    <x v="2"/>
    <x v="2"/>
    <x v="2"/>
    <x v="252"/>
    <x v="235"/>
    <x v="215"/>
    <x v="241"/>
    <x v="253"/>
    <x v="254"/>
    <x v="4"/>
    <x v="254"/>
  </r>
  <r>
    <x v="255"/>
    <x v="2"/>
    <x v="185"/>
    <x v="2"/>
    <x v="3"/>
    <x v="6"/>
    <x v="253"/>
    <x v="236"/>
    <x v="216"/>
    <x v="242"/>
    <x v="254"/>
    <x v="255"/>
    <x v="2"/>
    <x v="255"/>
  </r>
  <r>
    <x v="256"/>
    <x v="3"/>
    <x v="34"/>
    <x v="0"/>
    <x v="8"/>
    <x v="9"/>
    <x v="254"/>
    <x v="237"/>
    <x v="217"/>
    <x v="243"/>
    <x v="255"/>
    <x v="256"/>
    <x v="0"/>
    <x v="256"/>
  </r>
  <r>
    <x v="257"/>
    <x v="3"/>
    <x v="38"/>
    <x v="0"/>
    <x v="3"/>
    <x v="3"/>
    <x v="255"/>
    <x v="86"/>
    <x v="178"/>
    <x v="244"/>
    <x v="256"/>
    <x v="257"/>
    <x v="0"/>
    <x v="257"/>
  </r>
  <r>
    <x v="258"/>
    <x v="3"/>
    <x v="186"/>
    <x v="0"/>
    <x v="8"/>
    <x v="9"/>
    <x v="256"/>
    <x v="238"/>
    <x v="117"/>
    <x v="245"/>
    <x v="257"/>
    <x v="258"/>
    <x v="4"/>
    <x v="258"/>
  </r>
  <r>
    <x v="259"/>
    <x v="2"/>
    <x v="80"/>
    <x v="0"/>
    <x v="4"/>
    <x v="4"/>
    <x v="257"/>
    <x v="239"/>
    <x v="218"/>
    <x v="246"/>
    <x v="258"/>
    <x v="259"/>
    <x v="2"/>
    <x v="259"/>
  </r>
  <r>
    <x v="260"/>
    <x v="3"/>
    <x v="187"/>
    <x v="0"/>
    <x v="6"/>
    <x v="7"/>
    <x v="258"/>
    <x v="69"/>
    <x v="23"/>
    <x v="247"/>
    <x v="259"/>
    <x v="260"/>
    <x v="4"/>
    <x v="260"/>
  </r>
  <r>
    <x v="261"/>
    <x v="3"/>
    <x v="188"/>
    <x v="3"/>
    <x v="7"/>
    <x v="8"/>
    <x v="259"/>
    <x v="240"/>
    <x v="219"/>
    <x v="248"/>
    <x v="260"/>
    <x v="261"/>
    <x v="2"/>
    <x v="261"/>
  </r>
  <r>
    <x v="262"/>
    <x v="3"/>
    <x v="24"/>
    <x v="1"/>
    <x v="5"/>
    <x v="5"/>
    <x v="260"/>
    <x v="241"/>
    <x v="220"/>
    <x v="249"/>
    <x v="261"/>
    <x v="262"/>
    <x v="3"/>
    <x v="262"/>
  </r>
  <r>
    <x v="263"/>
    <x v="1"/>
    <x v="7"/>
    <x v="3"/>
    <x v="4"/>
    <x v="4"/>
    <x v="261"/>
    <x v="163"/>
    <x v="221"/>
    <x v="250"/>
    <x v="262"/>
    <x v="263"/>
    <x v="0"/>
    <x v="263"/>
  </r>
  <r>
    <x v="264"/>
    <x v="1"/>
    <x v="189"/>
    <x v="0"/>
    <x v="5"/>
    <x v="5"/>
    <x v="262"/>
    <x v="242"/>
    <x v="222"/>
    <x v="251"/>
    <x v="263"/>
    <x v="264"/>
    <x v="2"/>
    <x v="264"/>
  </r>
  <r>
    <x v="265"/>
    <x v="2"/>
    <x v="190"/>
    <x v="0"/>
    <x v="0"/>
    <x v="0"/>
    <x v="263"/>
    <x v="156"/>
    <x v="223"/>
    <x v="116"/>
    <x v="264"/>
    <x v="265"/>
    <x v="3"/>
    <x v="265"/>
  </r>
  <r>
    <x v="266"/>
    <x v="1"/>
    <x v="191"/>
    <x v="3"/>
    <x v="3"/>
    <x v="3"/>
    <x v="264"/>
    <x v="21"/>
    <x v="224"/>
    <x v="252"/>
    <x v="265"/>
    <x v="266"/>
    <x v="2"/>
    <x v="266"/>
  </r>
  <r>
    <x v="267"/>
    <x v="3"/>
    <x v="192"/>
    <x v="0"/>
    <x v="10"/>
    <x v="10"/>
    <x v="265"/>
    <x v="243"/>
    <x v="225"/>
    <x v="253"/>
    <x v="266"/>
    <x v="267"/>
    <x v="0"/>
    <x v="267"/>
  </r>
  <r>
    <x v="268"/>
    <x v="0"/>
    <x v="14"/>
    <x v="3"/>
    <x v="3"/>
    <x v="6"/>
    <x v="266"/>
    <x v="244"/>
    <x v="226"/>
    <x v="254"/>
    <x v="267"/>
    <x v="268"/>
    <x v="1"/>
    <x v="268"/>
  </r>
  <r>
    <x v="269"/>
    <x v="1"/>
    <x v="36"/>
    <x v="3"/>
    <x v="2"/>
    <x v="2"/>
    <x v="267"/>
    <x v="245"/>
    <x v="227"/>
    <x v="20"/>
    <x v="268"/>
    <x v="269"/>
    <x v="3"/>
    <x v="269"/>
  </r>
  <r>
    <x v="270"/>
    <x v="3"/>
    <x v="193"/>
    <x v="0"/>
    <x v="7"/>
    <x v="8"/>
    <x v="268"/>
    <x v="246"/>
    <x v="228"/>
    <x v="255"/>
    <x v="269"/>
    <x v="270"/>
    <x v="1"/>
    <x v="270"/>
  </r>
  <r>
    <x v="271"/>
    <x v="2"/>
    <x v="89"/>
    <x v="2"/>
    <x v="10"/>
    <x v="10"/>
    <x v="269"/>
    <x v="247"/>
    <x v="229"/>
    <x v="256"/>
    <x v="270"/>
    <x v="271"/>
    <x v="0"/>
    <x v="271"/>
  </r>
  <r>
    <x v="272"/>
    <x v="0"/>
    <x v="194"/>
    <x v="1"/>
    <x v="3"/>
    <x v="6"/>
    <x v="270"/>
    <x v="248"/>
    <x v="115"/>
    <x v="257"/>
    <x v="271"/>
    <x v="272"/>
    <x v="2"/>
    <x v="272"/>
  </r>
  <r>
    <x v="273"/>
    <x v="3"/>
    <x v="146"/>
    <x v="1"/>
    <x v="10"/>
    <x v="10"/>
    <x v="271"/>
    <x v="249"/>
    <x v="230"/>
    <x v="258"/>
    <x v="272"/>
    <x v="273"/>
    <x v="2"/>
    <x v="273"/>
  </r>
  <r>
    <x v="274"/>
    <x v="1"/>
    <x v="136"/>
    <x v="1"/>
    <x v="7"/>
    <x v="8"/>
    <x v="272"/>
    <x v="250"/>
    <x v="139"/>
    <x v="259"/>
    <x v="273"/>
    <x v="274"/>
    <x v="1"/>
    <x v="274"/>
  </r>
  <r>
    <x v="275"/>
    <x v="3"/>
    <x v="7"/>
    <x v="1"/>
    <x v="3"/>
    <x v="3"/>
    <x v="273"/>
    <x v="226"/>
    <x v="192"/>
    <x v="260"/>
    <x v="274"/>
    <x v="275"/>
    <x v="1"/>
    <x v="275"/>
  </r>
  <r>
    <x v="276"/>
    <x v="2"/>
    <x v="191"/>
    <x v="2"/>
    <x v="5"/>
    <x v="5"/>
    <x v="90"/>
    <x v="251"/>
    <x v="230"/>
    <x v="261"/>
    <x v="275"/>
    <x v="276"/>
    <x v="0"/>
    <x v="276"/>
  </r>
  <r>
    <x v="277"/>
    <x v="1"/>
    <x v="195"/>
    <x v="0"/>
    <x v="1"/>
    <x v="1"/>
    <x v="274"/>
    <x v="47"/>
    <x v="231"/>
    <x v="154"/>
    <x v="276"/>
    <x v="277"/>
    <x v="3"/>
    <x v="277"/>
  </r>
  <r>
    <x v="278"/>
    <x v="0"/>
    <x v="196"/>
    <x v="1"/>
    <x v="6"/>
    <x v="7"/>
    <x v="275"/>
    <x v="148"/>
    <x v="232"/>
    <x v="262"/>
    <x v="277"/>
    <x v="278"/>
    <x v="2"/>
    <x v="278"/>
  </r>
  <r>
    <x v="279"/>
    <x v="3"/>
    <x v="196"/>
    <x v="3"/>
    <x v="3"/>
    <x v="6"/>
    <x v="276"/>
    <x v="252"/>
    <x v="118"/>
    <x v="263"/>
    <x v="278"/>
    <x v="279"/>
    <x v="2"/>
    <x v="279"/>
  </r>
  <r>
    <x v="280"/>
    <x v="1"/>
    <x v="197"/>
    <x v="3"/>
    <x v="2"/>
    <x v="2"/>
    <x v="277"/>
    <x v="253"/>
    <x v="233"/>
    <x v="264"/>
    <x v="279"/>
    <x v="280"/>
    <x v="3"/>
    <x v="280"/>
  </r>
  <r>
    <x v="281"/>
    <x v="2"/>
    <x v="198"/>
    <x v="2"/>
    <x v="7"/>
    <x v="8"/>
    <x v="278"/>
    <x v="254"/>
    <x v="234"/>
    <x v="82"/>
    <x v="280"/>
    <x v="281"/>
    <x v="4"/>
    <x v="281"/>
  </r>
  <r>
    <x v="282"/>
    <x v="0"/>
    <x v="199"/>
    <x v="3"/>
    <x v="8"/>
    <x v="9"/>
    <x v="279"/>
    <x v="255"/>
    <x v="136"/>
    <x v="265"/>
    <x v="281"/>
    <x v="282"/>
    <x v="0"/>
    <x v="282"/>
  </r>
  <r>
    <x v="283"/>
    <x v="1"/>
    <x v="200"/>
    <x v="1"/>
    <x v="10"/>
    <x v="10"/>
    <x v="280"/>
    <x v="256"/>
    <x v="235"/>
    <x v="266"/>
    <x v="282"/>
    <x v="283"/>
    <x v="4"/>
    <x v="283"/>
  </r>
  <r>
    <x v="284"/>
    <x v="2"/>
    <x v="201"/>
    <x v="0"/>
    <x v="5"/>
    <x v="5"/>
    <x v="281"/>
    <x v="257"/>
    <x v="32"/>
    <x v="267"/>
    <x v="283"/>
    <x v="284"/>
    <x v="1"/>
    <x v="284"/>
  </r>
  <r>
    <x v="285"/>
    <x v="1"/>
    <x v="202"/>
    <x v="2"/>
    <x v="6"/>
    <x v="7"/>
    <x v="282"/>
    <x v="258"/>
    <x v="99"/>
    <x v="246"/>
    <x v="284"/>
    <x v="285"/>
    <x v="2"/>
    <x v="285"/>
  </r>
  <r>
    <x v="286"/>
    <x v="2"/>
    <x v="136"/>
    <x v="1"/>
    <x v="2"/>
    <x v="2"/>
    <x v="283"/>
    <x v="259"/>
    <x v="236"/>
    <x v="268"/>
    <x v="285"/>
    <x v="286"/>
    <x v="3"/>
    <x v="286"/>
  </r>
  <r>
    <x v="287"/>
    <x v="2"/>
    <x v="203"/>
    <x v="0"/>
    <x v="3"/>
    <x v="3"/>
    <x v="284"/>
    <x v="260"/>
    <x v="237"/>
    <x v="269"/>
    <x v="286"/>
    <x v="287"/>
    <x v="2"/>
    <x v="287"/>
  </r>
  <r>
    <x v="288"/>
    <x v="0"/>
    <x v="204"/>
    <x v="0"/>
    <x v="2"/>
    <x v="2"/>
    <x v="285"/>
    <x v="261"/>
    <x v="80"/>
    <x v="270"/>
    <x v="287"/>
    <x v="288"/>
    <x v="1"/>
    <x v="288"/>
  </r>
  <r>
    <x v="289"/>
    <x v="1"/>
    <x v="205"/>
    <x v="0"/>
    <x v="2"/>
    <x v="2"/>
    <x v="286"/>
    <x v="262"/>
    <x v="238"/>
    <x v="271"/>
    <x v="288"/>
    <x v="289"/>
    <x v="4"/>
    <x v="289"/>
  </r>
  <r>
    <x v="290"/>
    <x v="0"/>
    <x v="206"/>
    <x v="1"/>
    <x v="3"/>
    <x v="3"/>
    <x v="75"/>
    <x v="263"/>
    <x v="147"/>
    <x v="272"/>
    <x v="289"/>
    <x v="290"/>
    <x v="2"/>
    <x v="290"/>
  </r>
  <r>
    <x v="291"/>
    <x v="0"/>
    <x v="207"/>
    <x v="0"/>
    <x v="2"/>
    <x v="2"/>
    <x v="287"/>
    <x v="264"/>
    <x v="239"/>
    <x v="273"/>
    <x v="290"/>
    <x v="291"/>
    <x v="0"/>
    <x v="291"/>
  </r>
  <r>
    <x v="292"/>
    <x v="0"/>
    <x v="194"/>
    <x v="0"/>
    <x v="4"/>
    <x v="4"/>
    <x v="288"/>
    <x v="265"/>
    <x v="240"/>
    <x v="274"/>
    <x v="291"/>
    <x v="292"/>
    <x v="0"/>
    <x v="292"/>
  </r>
  <r>
    <x v="293"/>
    <x v="1"/>
    <x v="132"/>
    <x v="3"/>
    <x v="8"/>
    <x v="9"/>
    <x v="289"/>
    <x v="266"/>
    <x v="117"/>
    <x v="275"/>
    <x v="292"/>
    <x v="293"/>
    <x v="0"/>
    <x v="293"/>
  </r>
  <r>
    <x v="294"/>
    <x v="0"/>
    <x v="208"/>
    <x v="2"/>
    <x v="5"/>
    <x v="5"/>
    <x v="290"/>
    <x v="267"/>
    <x v="241"/>
    <x v="276"/>
    <x v="293"/>
    <x v="294"/>
    <x v="4"/>
    <x v="294"/>
  </r>
  <r>
    <x v="295"/>
    <x v="0"/>
    <x v="68"/>
    <x v="0"/>
    <x v="6"/>
    <x v="7"/>
    <x v="291"/>
    <x v="67"/>
    <x v="242"/>
    <x v="277"/>
    <x v="294"/>
    <x v="295"/>
    <x v="4"/>
    <x v="295"/>
  </r>
  <r>
    <x v="296"/>
    <x v="2"/>
    <x v="209"/>
    <x v="0"/>
    <x v="5"/>
    <x v="5"/>
    <x v="292"/>
    <x v="268"/>
    <x v="243"/>
    <x v="278"/>
    <x v="295"/>
    <x v="296"/>
    <x v="3"/>
    <x v="296"/>
  </r>
  <r>
    <x v="297"/>
    <x v="3"/>
    <x v="71"/>
    <x v="3"/>
    <x v="6"/>
    <x v="7"/>
    <x v="293"/>
    <x v="236"/>
    <x v="244"/>
    <x v="140"/>
    <x v="296"/>
    <x v="297"/>
    <x v="4"/>
    <x v="297"/>
  </r>
  <r>
    <x v="298"/>
    <x v="0"/>
    <x v="52"/>
    <x v="1"/>
    <x v="4"/>
    <x v="4"/>
    <x v="294"/>
    <x v="269"/>
    <x v="245"/>
    <x v="279"/>
    <x v="297"/>
    <x v="298"/>
    <x v="2"/>
    <x v="298"/>
  </r>
  <r>
    <x v="299"/>
    <x v="2"/>
    <x v="137"/>
    <x v="3"/>
    <x v="7"/>
    <x v="8"/>
    <x v="295"/>
    <x v="270"/>
    <x v="127"/>
    <x v="280"/>
    <x v="43"/>
    <x v="299"/>
    <x v="1"/>
    <x v="299"/>
  </r>
</pivotCacheRecords>
</file>

<file path=xl/pivotCache/pivotCacheRecords4.xml><?xml version="1.0" encoding="utf-8"?>
<pivotCacheRecords xmlns:r="http://schemas.openxmlformats.org/officeDocument/2006/relationships" xmlns="http://schemas.openxmlformats.org/spreadsheetml/2006/main" count="301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1"/>
    <x v="1"/>
    <x v="1"/>
    <x v="1"/>
    <x v="1"/>
  </r>
  <r>
    <x v="2"/>
    <x v="0"/>
    <x v="2"/>
    <x v="0"/>
    <x v="1"/>
    <x v="1"/>
    <x v="2"/>
    <x v="2"/>
    <x v="2"/>
    <x v="2"/>
    <x v="2"/>
    <x v="2"/>
    <x v="1"/>
    <x v="2"/>
  </r>
  <r>
    <x v="3"/>
    <x v="0"/>
    <x v="3"/>
    <x v="0"/>
    <x v="2"/>
    <x v="2"/>
    <x v="3"/>
    <x v="3"/>
    <x v="3"/>
    <x v="3"/>
    <x v="3"/>
    <x v="3"/>
    <x v="2"/>
    <x v="3"/>
  </r>
  <r>
    <x v="4"/>
    <x v="0"/>
    <x v="4"/>
    <x v="2"/>
    <x v="3"/>
    <x v="3"/>
    <x v="4"/>
    <x v="4"/>
    <x v="4"/>
    <x v="4"/>
    <x v="4"/>
    <x v="4"/>
    <x v="0"/>
    <x v="4"/>
  </r>
  <r>
    <x v="5"/>
    <x v="0"/>
    <x v="5"/>
    <x v="0"/>
    <x v="4"/>
    <x v="4"/>
    <x v="5"/>
    <x v="5"/>
    <x v="5"/>
    <x v="5"/>
    <x v="5"/>
    <x v="5"/>
    <x v="0"/>
    <x v="5"/>
  </r>
  <r>
    <x v="6"/>
    <x v="0"/>
    <x v="6"/>
    <x v="0"/>
    <x v="4"/>
    <x v="4"/>
    <x v="6"/>
    <x v="6"/>
    <x v="6"/>
    <x v="6"/>
    <x v="6"/>
    <x v="6"/>
    <x v="3"/>
    <x v="6"/>
  </r>
  <r>
    <x v="7"/>
    <x v="1"/>
    <x v="7"/>
    <x v="2"/>
    <x v="5"/>
    <x v="5"/>
    <x v="7"/>
    <x v="7"/>
    <x v="7"/>
    <x v="7"/>
    <x v="7"/>
    <x v="7"/>
    <x v="1"/>
    <x v="7"/>
  </r>
  <r>
    <x v="8"/>
    <x v="1"/>
    <x v="8"/>
    <x v="2"/>
    <x v="0"/>
    <x v="0"/>
    <x v="8"/>
    <x v="8"/>
    <x v="8"/>
    <x v="8"/>
    <x v="8"/>
    <x v="8"/>
    <x v="4"/>
    <x v="8"/>
  </r>
  <r>
    <x v="9"/>
    <x v="0"/>
    <x v="9"/>
    <x v="3"/>
    <x v="3"/>
    <x v="6"/>
    <x v="9"/>
    <x v="9"/>
    <x v="9"/>
    <x v="9"/>
    <x v="9"/>
    <x v="9"/>
    <x v="3"/>
    <x v="9"/>
  </r>
  <r>
    <x v="10"/>
    <x v="2"/>
    <x v="10"/>
    <x v="0"/>
    <x v="5"/>
    <x v="5"/>
    <x v="10"/>
    <x v="10"/>
    <x v="10"/>
    <x v="10"/>
    <x v="10"/>
    <x v="10"/>
    <x v="1"/>
    <x v="10"/>
  </r>
  <r>
    <x v="11"/>
    <x v="1"/>
    <x v="11"/>
    <x v="3"/>
    <x v="1"/>
    <x v="1"/>
    <x v="11"/>
    <x v="11"/>
    <x v="11"/>
    <x v="11"/>
    <x v="11"/>
    <x v="11"/>
    <x v="4"/>
    <x v="11"/>
  </r>
  <r>
    <x v="12"/>
    <x v="3"/>
    <x v="12"/>
    <x v="2"/>
    <x v="5"/>
    <x v="5"/>
    <x v="12"/>
    <x v="12"/>
    <x v="12"/>
    <x v="12"/>
    <x v="12"/>
    <x v="12"/>
    <x v="1"/>
    <x v="12"/>
  </r>
  <r>
    <x v="13"/>
    <x v="0"/>
    <x v="13"/>
    <x v="2"/>
    <x v="4"/>
    <x v="4"/>
    <x v="13"/>
    <x v="13"/>
    <x v="13"/>
    <x v="13"/>
    <x v="13"/>
    <x v="13"/>
    <x v="2"/>
    <x v="13"/>
  </r>
  <r>
    <x v="14"/>
    <x v="2"/>
    <x v="14"/>
    <x v="0"/>
    <x v="4"/>
    <x v="4"/>
    <x v="14"/>
    <x v="14"/>
    <x v="14"/>
    <x v="14"/>
    <x v="14"/>
    <x v="14"/>
    <x v="1"/>
    <x v="14"/>
  </r>
  <r>
    <x v="15"/>
    <x v="2"/>
    <x v="15"/>
    <x v="3"/>
    <x v="0"/>
    <x v="0"/>
    <x v="15"/>
    <x v="15"/>
    <x v="15"/>
    <x v="15"/>
    <x v="15"/>
    <x v="15"/>
    <x v="2"/>
    <x v="15"/>
  </r>
  <r>
    <x v="16"/>
    <x v="1"/>
    <x v="16"/>
    <x v="3"/>
    <x v="5"/>
    <x v="5"/>
    <x v="16"/>
    <x v="16"/>
    <x v="16"/>
    <x v="16"/>
    <x v="16"/>
    <x v="16"/>
    <x v="0"/>
    <x v="16"/>
  </r>
  <r>
    <x v="17"/>
    <x v="3"/>
    <x v="17"/>
    <x v="0"/>
    <x v="6"/>
    <x v="7"/>
    <x v="17"/>
    <x v="17"/>
    <x v="17"/>
    <x v="17"/>
    <x v="17"/>
    <x v="17"/>
    <x v="0"/>
    <x v="17"/>
  </r>
  <r>
    <x v="18"/>
    <x v="1"/>
    <x v="18"/>
    <x v="1"/>
    <x v="0"/>
    <x v="0"/>
    <x v="18"/>
    <x v="18"/>
    <x v="18"/>
    <x v="18"/>
    <x v="18"/>
    <x v="18"/>
    <x v="1"/>
    <x v="18"/>
  </r>
  <r>
    <x v="19"/>
    <x v="2"/>
    <x v="19"/>
    <x v="0"/>
    <x v="3"/>
    <x v="3"/>
    <x v="19"/>
    <x v="19"/>
    <x v="19"/>
    <x v="19"/>
    <x v="19"/>
    <x v="19"/>
    <x v="3"/>
    <x v="19"/>
  </r>
  <r>
    <x v="20"/>
    <x v="1"/>
    <x v="20"/>
    <x v="3"/>
    <x v="7"/>
    <x v="8"/>
    <x v="20"/>
    <x v="20"/>
    <x v="20"/>
    <x v="20"/>
    <x v="20"/>
    <x v="20"/>
    <x v="3"/>
    <x v="20"/>
  </r>
  <r>
    <x v="21"/>
    <x v="3"/>
    <x v="21"/>
    <x v="1"/>
    <x v="2"/>
    <x v="2"/>
    <x v="21"/>
    <x v="21"/>
    <x v="21"/>
    <x v="21"/>
    <x v="21"/>
    <x v="21"/>
    <x v="0"/>
    <x v="21"/>
  </r>
  <r>
    <x v="22"/>
    <x v="2"/>
    <x v="22"/>
    <x v="1"/>
    <x v="1"/>
    <x v="1"/>
    <x v="22"/>
    <x v="22"/>
    <x v="22"/>
    <x v="22"/>
    <x v="22"/>
    <x v="22"/>
    <x v="4"/>
    <x v="22"/>
  </r>
  <r>
    <x v="23"/>
    <x v="1"/>
    <x v="23"/>
    <x v="3"/>
    <x v="0"/>
    <x v="0"/>
    <x v="23"/>
    <x v="23"/>
    <x v="23"/>
    <x v="23"/>
    <x v="23"/>
    <x v="23"/>
    <x v="1"/>
    <x v="23"/>
  </r>
  <r>
    <x v="24"/>
    <x v="1"/>
    <x v="24"/>
    <x v="0"/>
    <x v="4"/>
    <x v="4"/>
    <x v="24"/>
    <x v="24"/>
    <x v="24"/>
    <x v="24"/>
    <x v="24"/>
    <x v="24"/>
    <x v="1"/>
    <x v="24"/>
  </r>
  <r>
    <x v="25"/>
    <x v="0"/>
    <x v="5"/>
    <x v="0"/>
    <x v="6"/>
    <x v="7"/>
    <x v="25"/>
    <x v="25"/>
    <x v="25"/>
    <x v="25"/>
    <x v="25"/>
    <x v="25"/>
    <x v="3"/>
    <x v="25"/>
  </r>
  <r>
    <x v="26"/>
    <x v="3"/>
    <x v="25"/>
    <x v="3"/>
    <x v="8"/>
    <x v="9"/>
    <x v="26"/>
    <x v="26"/>
    <x v="26"/>
    <x v="26"/>
    <x v="26"/>
    <x v="26"/>
    <x v="3"/>
    <x v="26"/>
  </r>
  <r>
    <x v="27"/>
    <x v="0"/>
    <x v="26"/>
    <x v="0"/>
    <x v="3"/>
    <x v="3"/>
    <x v="27"/>
    <x v="27"/>
    <x v="27"/>
    <x v="27"/>
    <x v="27"/>
    <x v="27"/>
    <x v="0"/>
    <x v="27"/>
  </r>
  <r>
    <x v="28"/>
    <x v="3"/>
    <x v="27"/>
    <x v="1"/>
    <x v="7"/>
    <x v="8"/>
    <x v="28"/>
    <x v="26"/>
    <x v="28"/>
    <x v="28"/>
    <x v="28"/>
    <x v="28"/>
    <x v="4"/>
    <x v="28"/>
  </r>
  <r>
    <x v="29"/>
    <x v="0"/>
    <x v="28"/>
    <x v="0"/>
    <x v="3"/>
    <x v="6"/>
    <x v="29"/>
    <x v="28"/>
    <x v="29"/>
    <x v="29"/>
    <x v="29"/>
    <x v="29"/>
    <x v="3"/>
    <x v="29"/>
  </r>
  <r>
    <x v="30"/>
    <x v="0"/>
    <x v="29"/>
    <x v="0"/>
    <x v="3"/>
    <x v="3"/>
    <x v="30"/>
    <x v="29"/>
    <x v="30"/>
    <x v="30"/>
    <x v="30"/>
    <x v="30"/>
    <x v="0"/>
    <x v="30"/>
  </r>
  <r>
    <x v="31"/>
    <x v="0"/>
    <x v="30"/>
    <x v="2"/>
    <x v="4"/>
    <x v="4"/>
    <x v="31"/>
    <x v="30"/>
    <x v="31"/>
    <x v="31"/>
    <x v="31"/>
    <x v="31"/>
    <x v="1"/>
    <x v="31"/>
  </r>
  <r>
    <x v="32"/>
    <x v="3"/>
    <x v="31"/>
    <x v="0"/>
    <x v="0"/>
    <x v="0"/>
    <x v="32"/>
    <x v="31"/>
    <x v="32"/>
    <x v="32"/>
    <x v="32"/>
    <x v="32"/>
    <x v="0"/>
    <x v="32"/>
  </r>
  <r>
    <x v="33"/>
    <x v="1"/>
    <x v="32"/>
    <x v="2"/>
    <x v="2"/>
    <x v="2"/>
    <x v="33"/>
    <x v="32"/>
    <x v="33"/>
    <x v="33"/>
    <x v="33"/>
    <x v="33"/>
    <x v="3"/>
    <x v="33"/>
  </r>
  <r>
    <x v="34"/>
    <x v="3"/>
    <x v="33"/>
    <x v="1"/>
    <x v="5"/>
    <x v="5"/>
    <x v="34"/>
    <x v="7"/>
    <x v="9"/>
    <x v="34"/>
    <x v="34"/>
    <x v="34"/>
    <x v="2"/>
    <x v="34"/>
  </r>
  <r>
    <x v="35"/>
    <x v="1"/>
    <x v="34"/>
    <x v="1"/>
    <x v="2"/>
    <x v="2"/>
    <x v="35"/>
    <x v="33"/>
    <x v="34"/>
    <x v="35"/>
    <x v="35"/>
    <x v="35"/>
    <x v="0"/>
    <x v="35"/>
  </r>
  <r>
    <x v="36"/>
    <x v="0"/>
    <x v="35"/>
    <x v="2"/>
    <x v="2"/>
    <x v="2"/>
    <x v="36"/>
    <x v="34"/>
    <x v="35"/>
    <x v="36"/>
    <x v="36"/>
    <x v="36"/>
    <x v="0"/>
    <x v="36"/>
  </r>
  <r>
    <x v="37"/>
    <x v="2"/>
    <x v="36"/>
    <x v="2"/>
    <x v="7"/>
    <x v="8"/>
    <x v="37"/>
    <x v="35"/>
    <x v="36"/>
    <x v="37"/>
    <x v="37"/>
    <x v="37"/>
    <x v="2"/>
    <x v="37"/>
  </r>
  <r>
    <x v="38"/>
    <x v="3"/>
    <x v="37"/>
    <x v="1"/>
    <x v="6"/>
    <x v="7"/>
    <x v="38"/>
    <x v="36"/>
    <x v="37"/>
    <x v="38"/>
    <x v="38"/>
    <x v="38"/>
    <x v="2"/>
    <x v="38"/>
  </r>
  <r>
    <x v="39"/>
    <x v="3"/>
    <x v="38"/>
    <x v="3"/>
    <x v="7"/>
    <x v="8"/>
    <x v="39"/>
    <x v="37"/>
    <x v="38"/>
    <x v="39"/>
    <x v="39"/>
    <x v="39"/>
    <x v="1"/>
    <x v="39"/>
  </r>
  <r>
    <x v="40"/>
    <x v="2"/>
    <x v="39"/>
    <x v="3"/>
    <x v="3"/>
    <x v="6"/>
    <x v="40"/>
    <x v="38"/>
    <x v="39"/>
    <x v="40"/>
    <x v="40"/>
    <x v="40"/>
    <x v="4"/>
    <x v="40"/>
  </r>
  <r>
    <x v="41"/>
    <x v="2"/>
    <x v="40"/>
    <x v="0"/>
    <x v="9"/>
    <x v="7"/>
    <x v="41"/>
    <x v="39"/>
    <x v="40"/>
    <x v="41"/>
    <x v="41"/>
    <x v="41"/>
    <x v="3"/>
    <x v="41"/>
  </r>
  <r>
    <x v="42"/>
    <x v="3"/>
    <x v="41"/>
    <x v="2"/>
    <x v="2"/>
    <x v="2"/>
    <x v="42"/>
    <x v="14"/>
    <x v="41"/>
    <x v="29"/>
    <x v="42"/>
    <x v="42"/>
    <x v="2"/>
    <x v="42"/>
  </r>
  <r>
    <x v="43"/>
    <x v="1"/>
    <x v="42"/>
    <x v="3"/>
    <x v="6"/>
    <x v="7"/>
    <x v="43"/>
    <x v="40"/>
    <x v="42"/>
    <x v="42"/>
    <x v="43"/>
    <x v="43"/>
    <x v="4"/>
    <x v="43"/>
  </r>
  <r>
    <x v="44"/>
    <x v="2"/>
    <x v="43"/>
    <x v="3"/>
    <x v="2"/>
    <x v="2"/>
    <x v="44"/>
    <x v="41"/>
    <x v="43"/>
    <x v="43"/>
    <x v="44"/>
    <x v="44"/>
    <x v="0"/>
    <x v="44"/>
  </r>
  <r>
    <x v="45"/>
    <x v="3"/>
    <x v="44"/>
    <x v="0"/>
    <x v="8"/>
    <x v="9"/>
    <x v="45"/>
    <x v="42"/>
    <x v="44"/>
    <x v="44"/>
    <x v="45"/>
    <x v="45"/>
    <x v="2"/>
    <x v="45"/>
  </r>
  <r>
    <x v="46"/>
    <x v="1"/>
    <x v="7"/>
    <x v="1"/>
    <x v="3"/>
    <x v="6"/>
    <x v="46"/>
    <x v="43"/>
    <x v="45"/>
    <x v="45"/>
    <x v="46"/>
    <x v="46"/>
    <x v="3"/>
    <x v="46"/>
  </r>
  <r>
    <x v="47"/>
    <x v="1"/>
    <x v="45"/>
    <x v="2"/>
    <x v="4"/>
    <x v="4"/>
    <x v="47"/>
    <x v="44"/>
    <x v="46"/>
    <x v="28"/>
    <x v="47"/>
    <x v="47"/>
    <x v="3"/>
    <x v="47"/>
  </r>
  <r>
    <x v="48"/>
    <x v="2"/>
    <x v="23"/>
    <x v="0"/>
    <x v="7"/>
    <x v="8"/>
    <x v="48"/>
    <x v="45"/>
    <x v="47"/>
    <x v="46"/>
    <x v="48"/>
    <x v="48"/>
    <x v="3"/>
    <x v="48"/>
  </r>
  <r>
    <x v="49"/>
    <x v="1"/>
    <x v="46"/>
    <x v="0"/>
    <x v="8"/>
    <x v="9"/>
    <x v="49"/>
    <x v="12"/>
    <x v="48"/>
    <x v="47"/>
    <x v="49"/>
    <x v="49"/>
    <x v="2"/>
    <x v="49"/>
  </r>
  <r>
    <x v="50"/>
    <x v="2"/>
    <x v="47"/>
    <x v="3"/>
    <x v="3"/>
    <x v="6"/>
    <x v="50"/>
    <x v="46"/>
    <x v="49"/>
    <x v="48"/>
    <x v="50"/>
    <x v="50"/>
    <x v="0"/>
    <x v="50"/>
  </r>
  <r>
    <x v="51"/>
    <x v="0"/>
    <x v="48"/>
    <x v="3"/>
    <x v="2"/>
    <x v="2"/>
    <x v="51"/>
    <x v="47"/>
    <x v="50"/>
    <x v="49"/>
    <x v="51"/>
    <x v="51"/>
    <x v="4"/>
    <x v="51"/>
  </r>
  <r>
    <x v="52"/>
    <x v="2"/>
    <x v="20"/>
    <x v="0"/>
    <x v="2"/>
    <x v="2"/>
    <x v="52"/>
    <x v="48"/>
    <x v="51"/>
    <x v="50"/>
    <x v="52"/>
    <x v="52"/>
    <x v="1"/>
    <x v="52"/>
  </r>
  <r>
    <x v="53"/>
    <x v="0"/>
    <x v="49"/>
    <x v="2"/>
    <x v="0"/>
    <x v="0"/>
    <x v="53"/>
    <x v="49"/>
    <x v="52"/>
    <x v="51"/>
    <x v="53"/>
    <x v="53"/>
    <x v="0"/>
    <x v="53"/>
  </r>
  <r>
    <x v="54"/>
    <x v="2"/>
    <x v="50"/>
    <x v="1"/>
    <x v="7"/>
    <x v="8"/>
    <x v="54"/>
    <x v="50"/>
    <x v="53"/>
    <x v="52"/>
    <x v="54"/>
    <x v="54"/>
    <x v="4"/>
    <x v="54"/>
  </r>
  <r>
    <x v="55"/>
    <x v="0"/>
    <x v="51"/>
    <x v="0"/>
    <x v="3"/>
    <x v="6"/>
    <x v="55"/>
    <x v="51"/>
    <x v="54"/>
    <x v="53"/>
    <x v="55"/>
    <x v="55"/>
    <x v="4"/>
    <x v="55"/>
  </r>
  <r>
    <x v="56"/>
    <x v="2"/>
    <x v="52"/>
    <x v="0"/>
    <x v="7"/>
    <x v="8"/>
    <x v="56"/>
    <x v="52"/>
    <x v="55"/>
    <x v="54"/>
    <x v="56"/>
    <x v="56"/>
    <x v="3"/>
    <x v="56"/>
  </r>
  <r>
    <x v="57"/>
    <x v="1"/>
    <x v="47"/>
    <x v="2"/>
    <x v="4"/>
    <x v="4"/>
    <x v="57"/>
    <x v="53"/>
    <x v="56"/>
    <x v="55"/>
    <x v="57"/>
    <x v="57"/>
    <x v="2"/>
    <x v="57"/>
  </r>
  <r>
    <x v="58"/>
    <x v="1"/>
    <x v="53"/>
    <x v="2"/>
    <x v="3"/>
    <x v="6"/>
    <x v="58"/>
    <x v="54"/>
    <x v="57"/>
    <x v="56"/>
    <x v="58"/>
    <x v="58"/>
    <x v="3"/>
    <x v="58"/>
  </r>
  <r>
    <x v="59"/>
    <x v="1"/>
    <x v="54"/>
    <x v="2"/>
    <x v="0"/>
    <x v="0"/>
    <x v="59"/>
    <x v="55"/>
    <x v="58"/>
    <x v="57"/>
    <x v="59"/>
    <x v="59"/>
    <x v="4"/>
    <x v="59"/>
  </r>
  <r>
    <x v="60"/>
    <x v="1"/>
    <x v="55"/>
    <x v="1"/>
    <x v="10"/>
    <x v="10"/>
    <x v="60"/>
    <x v="56"/>
    <x v="59"/>
    <x v="58"/>
    <x v="60"/>
    <x v="60"/>
    <x v="0"/>
    <x v="60"/>
  </r>
  <r>
    <x v="61"/>
    <x v="0"/>
    <x v="56"/>
    <x v="2"/>
    <x v="9"/>
    <x v="7"/>
    <x v="61"/>
    <x v="57"/>
    <x v="60"/>
    <x v="59"/>
    <x v="61"/>
    <x v="61"/>
    <x v="4"/>
    <x v="61"/>
  </r>
  <r>
    <x v="62"/>
    <x v="2"/>
    <x v="57"/>
    <x v="0"/>
    <x v="3"/>
    <x v="6"/>
    <x v="62"/>
    <x v="58"/>
    <x v="61"/>
    <x v="60"/>
    <x v="62"/>
    <x v="62"/>
    <x v="2"/>
    <x v="62"/>
  </r>
  <r>
    <x v="63"/>
    <x v="2"/>
    <x v="58"/>
    <x v="2"/>
    <x v="5"/>
    <x v="5"/>
    <x v="63"/>
    <x v="59"/>
    <x v="62"/>
    <x v="61"/>
    <x v="63"/>
    <x v="63"/>
    <x v="4"/>
    <x v="63"/>
  </r>
  <r>
    <x v="64"/>
    <x v="2"/>
    <x v="59"/>
    <x v="0"/>
    <x v="2"/>
    <x v="2"/>
    <x v="64"/>
    <x v="60"/>
    <x v="63"/>
    <x v="62"/>
    <x v="64"/>
    <x v="64"/>
    <x v="4"/>
    <x v="64"/>
  </r>
  <r>
    <x v="65"/>
    <x v="2"/>
    <x v="60"/>
    <x v="1"/>
    <x v="3"/>
    <x v="3"/>
    <x v="65"/>
    <x v="61"/>
    <x v="64"/>
    <x v="63"/>
    <x v="65"/>
    <x v="65"/>
    <x v="0"/>
    <x v="65"/>
  </r>
  <r>
    <x v="66"/>
    <x v="3"/>
    <x v="61"/>
    <x v="0"/>
    <x v="0"/>
    <x v="0"/>
    <x v="66"/>
    <x v="62"/>
    <x v="65"/>
    <x v="39"/>
    <x v="66"/>
    <x v="66"/>
    <x v="4"/>
    <x v="66"/>
  </r>
  <r>
    <x v="67"/>
    <x v="3"/>
    <x v="62"/>
    <x v="2"/>
    <x v="5"/>
    <x v="5"/>
    <x v="67"/>
    <x v="63"/>
    <x v="66"/>
    <x v="64"/>
    <x v="67"/>
    <x v="67"/>
    <x v="2"/>
    <x v="67"/>
  </r>
  <r>
    <x v="68"/>
    <x v="1"/>
    <x v="63"/>
    <x v="3"/>
    <x v="8"/>
    <x v="9"/>
    <x v="68"/>
    <x v="64"/>
    <x v="67"/>
    <x v="65"/>
    <x v="68"/>
    <x v="68"/>
    <x v="1"/>
    <x v="68"/>
  </r>
  <r>
    <x v="69"/>
    <x v="3"/>
    <x v="15"/>
    <x v="0"/>
    <x v="9"/>
    <x v="7"/>
    <x v="69"/>
    <x v="65"/>
    <x v="68"/>
    <x v="66"/>
    <x v="69"/>
    <x v="69"/>
    <x v="2"/>
    <x v="69"/>
  </r>
  <r>
    <x v="70"/>
    <x v="0"/>
    <x v="64"/>
    <x v="1"/>
    <x v="3"/>
    <x v="6"/>
    <x v="70"/>
    <x v="66"/>
    <x v="69"/>
    <x v="67"/>
    <x v="70"/>
    <x v="70"/>
    <x v="0"/>
    <x v="70"/>
  </r>
  <r>
    <x v="71"/>
    <x v="0"/>
    <x v="65"/>
    <x v="2"/>
    <x v="8"/>
    <x v="9"/>
    <x v="71"/>
    <x v="67"/>
    <x v="70"/>
    <x v="68"/>
    <x v="71"/>
    <x v="71"/>
    <x v="4"/>
    <x v="71"/>
  </r>
  <r>
    <x v="72"/>
    <x v="1"/>
    <x v="66"/>
    <x v="0"/>
    <x v="4"/>
    <x v="4"/>
    <x v="72"/>
    <x v="68"/>
    <x v="71"/>
    <x v="69"/>
    <x v="72"/>
    <x v="72"/>
    <x v="4"/>
    <x v="72"/>
  </r>
  <r>
    <x v="73"/>
    <x v="3"/>
    <x v="38"/>
    <x v="3"/>
    <x v="3"/>
    <x v="6"/>
    <x v="73"/>
    <x v="69"/>
    <x v="72"/>
    <x v="70"/>
    <x v="73"/>
    <x v="73"/>
    <x v="1"/>
    <x v="73"/>
  </r>
  <r>
    <x v="74"/>
    <x v="3"/>
    <x v="67"/>
    <x v="3"/>
    <x v="3"/>
    <x v="3"/>
    <x v="74"/>
    <x v="70"/>
    <x v="73"/>
    <x v="71"/>
    <x v="74"/>
    <x v="74"/>
    <x v="1"/>
    <x v="74"/>
  </r>
  <r>
    <x v="75"/>
    <x v="1"/>
    <x v="68"/>
    <x v="1"/>
    <x v="4"/>
    <x v="4"/>
    <x v="75"/>
    <x v="71"/>
    <x v="74"/>
    <x v="72"/>
    <x v="75"/>
    <x v="75"/>
    <x v="4"/>
    <x v="75"/>
  </r>
  <r>
    <x v="76"/>
    <x v="1"/>
    <x v="69"/>
    <x v="0"/>
    <x v="10"/>
    <x v="10"/>
    <x v="76"/>
    <x v="72"/>
    <x v="34"/>
    <x v="73"/>
    <x v="76"/>
    <x v="76"/>
    <x v="1"/>
    <x v="76"/>
  </r>
  <r>
    <x v="77"/>
    <x v="3"/>
    <x v="70"/>
    <x v="2"/>
    <x v="8"/>
    <x v="9"/>
    <x v="77"/>
    <x v="73"/>
    <x v="75"/>
    <x v="74"/>
    <x v="77"/>
    <x v="77"/>
    <x v="2"/>
    <x v="77"/>
  </r>
  <r>
    <x v="78"/>
    <x v="3"/>
    <x v="71"/>
    <x v="0"/>
    <x v="10"/>
    <x v="10"/>
    <x v="78"/>
    <x v="74"/>
    <x v="76"/>
    <x v="75"/>
    <x v="78"/>
    <x v="78"/>
    <x v="4"/>
    <x v="78"/>
  </r>
  <r>
    <x v="79"/>
    <x v="2"/>
    <x v="8"/>
    <x v="2"/>
    <x v="4"/>
    <x v="4"/>
    <x v="79"/>
    <x v="10"/>
    <x v="77"/>
    <x v="76"/>
    <x v="79"/>
    <x v="79"/>
    <x v="4"/>
    <x v="79"/>
  </r>
  <r>
    <x v="80"/>
    <x v="0"/>
    <x v="72"/>
    <x v="3"/>
    <x v="9"/>
    <x v="7"/>
    <x v="80"/>
    <x v="75"/>
    <x v="78"/>
    <x v="77"/>
    <x v="80"/>
    <x v="80"/>
    <x v="1"/>
    <x v="80"/>
  </r>
  <r>
    <x v="81"/>
    <x v="1"/>
    <x v="73"/>
    <x v="0"/>
    <x v="1"/>
    <x v="1"/>
    <x v="81"/>
    <x v="76"/>
    <x v="79"/>
    <x v="78"/>
    <x v="81"/>
    <x v="81"/>
    <x v="1"/>
    <x v="81"/>
  </r>
  <r>
    <x v="82"/>
    <x v="0"/>
    <x v="74"/>
    <x v="0"/>
    <x v="7"/>
    <x v="8"/>
    <x v="82"/>
    <x v="77"/>
    <x v="80"/>
    <x v="79"/>
    <x v="82"/>
    <x v="82"/>
    <x v="1"/>
    <x v="82"/>
  </r>
  <r>
    <x v="83"/>
    <x v="0"/>
    <x v="75"/>
    <x v="0"/>
    <x v="10"/>
    <x v="10"/>
    <x v="83"/>
    <x v="78"/>
    <x v="81"/>
    <x v="80"/>
    <x v="83"/>
    <x v="83"/>
    <x v="0"/>
    <x v="83"/>
  </r>
  <r>
    <x v="84"/>
    <x v="3"/>
    <x v="76"/>
    <x v="3"/>
    <x v="3"/>
    <x v="6"/>
    <x v="84"/>
    <x v="79"/>
    <x v="82"/>
    <x v="81"/>
    <x v="84"/>
    <x v="84"/>
    <x v="0"/>
    <x v="84"/>
  </r>
  <r>
    <x v="85"/>
    <x v="2"/>
    <x v="77"/>
    <x v="0"/>
    <x v="0"/>
    <x v="0"/>
    <x v="85"/>
    <x v="80"/>
    <x v="83"/>
    <x v="82"/>
    <x v="85"/>
    <x v="85"/>
    <x v="0"/>
    <x v="85"/>
  </r>
  <r>
    <x v="86"/>
    <x v="3"/>
    <x v="78"/>
    <x v="3"/>
    <x v="0"/>
    <x v="0"/>
    <x v="86"/>
    <x v="81"/>
    <x v="84"/>
    <x v="83"/>
    <x v="86"/>
    <x v="86"/>
    <x v="0"/>
    <x v="86"/>
  </r>
  <r>
    <x v="87"/>
    <x v="1"/>
    <x v="39"/>
    <x v="3"/>
    <x v="6"/>
    <x v="7"/>
    <x v="87"/>
    <x v="82"/>
    <x v="85"/>
    <x v="84"/>
    <x v="87"/>
    <x v="87"/>
    <x v="4"/>
    <x v="87"/>
  </r>
  <r>
    <x v="88"/>
    <x v="1"/>
    <x v="79"/>
    <x v="0"/>
    <x v="9"/>
    <x v="7"/>
    <x v="88"/>
    <x v="83"/>
    <x v="86"/>
    <x v="85"/>
    <x v="88"/>
    <x v="88"/>
    <x v="4"/>
    <x v="88"/>
  </r>
  <r>
    <x v="89"/>
    <x v="3"/>
    <x v="80"/>
    <x v="0"/>
    <x v="0"/>
    <x v="0"/>
    <x v="89"/>
    <x v="84"/>
    <x v="87"/>
    <x v="86"/>
    <x v="89"/>
    <x v="89"/>
    <x v="2"/>
    <x v="89"/>
  </r>
  <r>
    <x v="90"/>
    <x v="3"/>
    <x v="81"/>
    <x v="2"/>
    <x v="2"/>
    <x v="2"/>
    <x v="90"/>
    <x v="85"/>
    <x v="88"/>
    <x v="87"/>
    <x v="90"/>
    <x v="90"/>
    <x v="0"/>
    <x v="90"/>
  </r>
  <r>
    <x v="91"/>
    <x v="3"/>
    <x v="82"/>
    <x v="1"/>
    <x v="3"/>
    <x v="3"/>
    <x v="91"/>
    <x v="86"/>
    <x v="89"/>
    <x v="88"/>
    <x v="91"/>
    <x v="91"/>
    <x v="1"/>
    <x v="91"/>
  </r>
  <r>
    <x v="92"/>
    <x v="2"/>
    <x v="48"/>
    <x v="2"/>
    <x v="2"/>
    <x v="2"/>
    <x v="92"/>
    <x v="87"/>
    <x v="90"/>
    <x v="89"/>
    <x v="92"/>
    <x v="92"/>
    <x v="4"/>
    <x v="92"/>
  </r>
  <r>
    <x v="93"/>
    <x v="0"/>
    <x v="83"/>
    <x v="1"/>
    <x v="7"/>
    <x v="8"/>
    <x v="93"/>
    <x v="88"/>
    <x v="91"/>
    <x v="90"/>
    <x v="93"/>
    <x v="93"/>
    <x v="2"/>
    <x v="93"/>
  </r>
  <r>
    <x v="94"/>
    <x v="2"/>
    <x v="84"/>
    <x v="1"/>
    <x v="0"/>
    <x v="0"/>
    <x v="94"/>
    <x v="89"/>
    <x v="92"/>
    <x v="91"/>
    <x v="94"/>
    <x v="94"/>
    <x v="1"/>
    <x v="94"/>
  </r>
  <r>
    <x v="95"/>
    <x v="0"/>
    <x v="85"/>
    <x v="0"/>
    <x v="2"/>
    <x v="2"/>
    <x v="95"/>
    <x v="90"/>
    <x v="93"/>
    <x v="92"/>
    <x v="95"/>
    <x v="95"/>
    <x v="2"/>
    <x v="95"/>
  </r>
  <r>
    <x v="96"/>
    <x v="1"/>
    <x v="86"/>
    <x v="3"/>
    <x v="3"/>
    <x v="3"/>
    <x v="96"/>
    <x v="91"/>
    <x v="94"/>
    <x v="93"/>
    <x v="96"/>
    <x v="96"/>
    <x v="3"/>
    <x v="96"/>
  </r>
  <r>
    <x v="97"/>
    <x v="1"/>
    <x v="87"/>
    <x v="1"/>
    <x v="3"/>
    <x v="6"/>
    <x v="97"/>
    <x v="92"/>
    <x v="42"/>
    <x v="94"/>
    <x v="97"/>
    <x v="97"/>
    <x v="1"/>
    <x v="97"/>
  </r>
  <r>
    <x v="98"/>
    <x v="0"/>
    <x v="51"/>
    <x v="1"/>
    <x v="0"/>
    <x v="0"/>
    <x v="98"/>
    <x v="93"/>
    <x v="95"/>
    <x v="95"/>
    <x v="98"/>
    <x v="98"/>
    <x v="4"/>
    <x v="98"/>
  </r>
  <r>
    <x v="99"/>
    <x v="0"/>
    <x v="24"/>
    <x v="2"/>
    <x v="6"/>
    <x v="7"/>
    <x v="99"/>
    <x v="94"/>
    <x v="96"/>
    <x v="96"/>
    <x v="99"/>
    <x v="99"/>
    <x v="0"/>
    <x v="99"/>
  </r>
  <r>
    <x v="100"/>
    <x v="3"/>
    <x v="29"/>
    <x v="1"/>
    <x v="3"/>
    <x v="3"/>
    <x v="100"/>
    <x v="95"/>
    <x v="97"/>
    <x v="97"/>
    <x v="100"/>
    <x v="100"/>
    <x v="1"/>
    <x v="100"/>
  </r>
  <r>
    <x v="101"/>
    <x v="0"/>
    <x v="88"/>
    <x v="1"/>
    <x v="0"/>
    <x v="0"/>
    <x v="101"/>
    <x v="96"/>
    <x v="98"/>
    <x v="98"/>
    <x v="101"/>
    <x v="101"/>
    <x v="0"/>
    <x v="101"/>
  </r>
  <r>
    <x v="102"/>
    <x v="3"/>
    <x v="89"/>
    <x v="3"/>
    <x v="9"/>
    <x v="7"/>
    <x v="102"/>
    <x v="97"/>
    <x v="99"/>
    <x v="99"/>
    <x v="102"/>
    <x v="102"/>
    <x v="3"/>
    <x v="102"/>
  </r>
  <r>
    <x v="103"/>
    <x v="1"/>
    <x v="90"/>
    <x v="1"/>
    <x v="3"/>
    <x v="3"/>
    <x v="103"/>
    <x v="98"/>
    <x v="100"/>
    <x v="100"/>
    <x v="103"/>
    <x v="103"/>
    <x v="1"/>
    <x v="103"/>
  </r>
  <r>
    <x v="104"/>
    <x v="3"/>
    <x v="91"/>
    <x v="2"/>
    <x v="2"/>
    <x v="2"/>
    <x v="55"/>
    <x v="99"/>
    <x v="101"/>
    <x v="101"/>
    <x v="104"/>
    <x v="104"/>
    <x v="0"/>
    <x v="104"/>
  </r>
  <r>
    <x v="105"/>
    <x v="1"/>
    <x v="92"/>
    <x v="1"/>
    <x v="0"/>
    <x v="0"/>
    <x v="104"/>
    <x v="100"/>
    <x v="48"/>
    <x v="102"/>
    <x v="105"/>
    <x v="105"/>
    <x v="1"/>
    <x v="105"/>
  </r>
  <r>
    <x v="106"/>
    <x v="1"/>
    <x v="93"/>
    <x v="3"/>
    <x v="1"/>
    <x v="1"/>
    <x v="105"/>
    <x v="101"/>
    <x v="102"/>
    <x v="103"/>
    <x v="106"/>
    <x v="106"/>
    <x v="1"/>
    <x v="106"/>
  </r>
  <r>
    <x v="107"/>
    <x v="1"/>
    <x v="94"/>
    <x v="2"/>
    <x v="10"/>
    <x v="10"/>
    <x v="106"/>
    <x v="102"/>
    <x v="103"/>
    <x v="104"/>
    <x v="107"/>
    <x v="107"/>
    <x v="0"/>
    <x v="107"/>
  </r>
  <r>
    <x v="108"/>
    <x v="0"/>
    <x v="95"/>
    <x v="1"/>
    <x v="8"/>
    <x v="9"/>
    <x v="107"/>
    <x v="103"/>
    <x v="0"/>
    <x v="105"/>
    <x v="108"/>
    <x v="108"/>
    <x v="1"/>
    <x v="108"/>
  </r>
  <r>
    <x v="109"/>
    <x v="2"/>
    <x v="96"/>
    <x v="2"/>
    <x v="5"/>
    <x v="5"/>
    <x v="108"/>
    <x v="104"/>
    <x v="104"/>
    <x v="106"/>
    <x v="109"/>
    <x v="109"/>
    <x v="2"/>
    <x v="109"/>
  </r>
  <r>
    <x v="110"/>
    <x v="0"/>
    <x v="84"/>
    <x v="2"/>
    <x v="4"/>
    <x v="4"/>
    <x v="109"/>
    <x v="105"/>
    <x v="105"/>
    <x v="107"/>
    <x v="110"/>
    <x v="110"/>
    <x v="1"/>
    <x v="110"/>
  </r>
  <r>
    <x v="111"/>
    <x v="2"/>
    <x v="97"/>
    <x v="2"/>
    <x v="9"/>
    <x v="7"/>
    <x v="110"/>
    <x v="106"/>
    <x v="106"/>
    <x v="108"/>
    <x v="111"/>
    <x v="111"/>
    <x v="3"/>
    <x v="111"/>
  </r>
  <r>
    <x v="112"/>
    <x v="1"/>
    <x v="98"/>
    <x v="0"/>
    <x v="9"/>
    <x v="7"/>
    <x v="111"/>
    <x v="82"/>
    <x v="107"/>
    <x v="109"/>
    <x v="112"/>
    <x v="112"/>
    <x v="2"/>
    <x v="112"/>
  </r>
  <r>
    <x v="113"/>
    <x v="1"/>
    <x v="99"/>
    <x v="1"/>
    <x v="3"/>
    <x v="6"/>
    <x v="112"/>
    <x v="107"/>
    <x v="108"/>
    <x v="110"/>
    <x v="113"/>
    <x v="113"/>
    <x v="2"/>
    <x v="113"/>
  </r>
  <r>
    <x v="114"/>
    <x v="0"/>
    <x v="100"/>
    <x v="1"/>
    <x v="4"/>
    <x v="4"/>
    <x v="113"/>
    <x v="108"/>
    <x v="109"/>
    <x v="111"/>
    <x v="114"/>
    <x v="114"/>
    <x v="2"/>
    <x v="114"/>
  </r>
  <r>
    <x v="115"/>
    <x v="2"/>
    <x v="101"/>
    <x v="0"/>
    <x v="4"/>
    <x v="4"/>
    <x v="114"/>
    <x v="109"/>
    <x v="110"/>
    <x v="112"/>
    <x v="115"/>
    <x v="115"/>
    <x v="3"/>
    <x v="115"/>
  </r>
  <r>
    <x v="116"/>
    <x v="3"/>
    <x v="102"/>
    <x v="2"/>
    <x v="10"/>
    <x v="10"/>
    <x v="115"/>
    <x v="110"/>
    <x v="111"/>
    <x v="113"/>
    <x v="116"/>
    <x v="116"/>
    <x v="1"/>
    <x v="116"/>
  </r>
  <r>
    <x v="117"/>
    <x v="3"/>
    <x v="103"/>
    <x v="2"/>
    <x v="6"/>
    <x v="7"/>
    <x v="116"/>
    <x v="111"/>
    <x v="112"/>
    <x v="114"/>
    <x v="117"/>
    <x v="117"/>
    <x v="1"/>
    <x v="117"/>
  </r>
  <r>
    <x v="118"/>
    <x v="0"/>
    <x v="104"/>
    <x v="2"/>
    <x v="10"/>
    <x v="10"/>
    <x v="117"/>
    <x v="112"/>
    <x v="113"/>
    <x v="115"/>
    <x v="118"/>
    <x v="118"/>
    <x v="0"/>
    <x v="118"/>
  </r>
  <r>
    <x v="119"/>
    <x v="3"/>
    <x v="105"/>
    <x v="0"/>
    <x v="7"/>
    <x v="8"/>
    <x v="118"/>
    <x v="113"/>
    <x v="114"/>
    <x v="116"/>
    <x v="119"/>
    <x v="119"/>
    <x v="2"/>
    <x v="119"/>
  </r>
  <r>
    <x v="120"/>
    <x v="2"/>
    <x v="106"/>
    <x v="1"/>
    <x v="5"/>
    <x v="5"/>
    <x v="119"/>
    <x v="114"/>
    <x v="83"/>
    <x v="117"/>
    <x v="120"/>
    <x v="120"/>
    <x v="3"/>
    <x v="120"/>
  </r>
  <r>
    <x v="121"/>
    <x v="0"/>
    <x v="107"/>
    <x v="1"/>
    <x v="2"/>
    <x v="2"/>
    <x v="120"/>
    <x v="115"/>
    <x v="115"/>
    <x v="118"/>
    <x v="121"/>
    <x v="121"/>
    <x v="1"/>
    <x v="121"/>
  </r>
  <r>
    <x v="122"/>
    <x v="1"/>
    <x v="108"/>
    <x v="0"/>
    <x v="5"/>
    <x v="5"/>
    <x v="121"/>
    <x v="116"/>
    <x v="116"/>
    <x v="119"/>
    <x v="122"/>
    <x v="122"/>
    <x v="0"/>
    <x v="122"/>
  </r>
  <r>
    <x v="123"/>
    <x v="0"/>
    <x v="91"/>
    <x v="1"/>
    <x v="7"/>
    <x v="8"/>
    <x v="122"/>
    <x v="117"/>
    <x v="117"/>
    <x v="120"/>
    <x v="123"/>
    <x v="123"/>
    <x v="2"/>
    <x v="123"/>
  </r>
  <r>
    <x v="124"/>
    <x v="2"/>
    <x v="89"/>
    <x v="0"/>
    <x v="3"/>
    <x v="6"/>
    <x v="123"/>
    <x v="118"/>
    <x v="118"/>
    <x v="121"/>
    <x v="124"/>
    <x v="124"/>
    <x v="0"/>
    <x v="124"/>
  </r>
  <r>
    <x v="125"/>
    <x v="2"/>
    <x v="54"/>
    <x v="0"/>
    <x v="0"/>
    <x v="0"/>
    <x v="124"/>
    <x v="79"/>
    <x v="119"/>
    <x v="122"/>
    <x v="125"/>
    <x v="125"/>
    <x v="4"/>
    <x v="125"/>
  </r>
  <r>
    <x v="126"/>
    <x v="3"/>
    <x v="109"/>
    <x v="3"/>
    <x v="1"/>
    <x v="1"/>
    <x v="125"/>
    <x v="87"/>
    <x v="120"/>
    <x v="123"/>
    <x v="126"/>
    <x v="126"/>
    <x v="2"/>
    <x v="126"/>
  </r>
  <r>
    <x v="127"/>
    <x v="3"/>
    <x v="110"/>
    <x v="0"/>
    <x v="3"/>
    <x v="6"/>
    <x v="126"/>
    <x v="119"/>
    <x v="121"/>
    <x v="124"/>
    <x v="127"/>
    <x v="127"/>
    <x v="1"/>
    <x v="127"/>
  </r>
  <r>
    <x v="128"/>
    <x v="1"/>
    <x v="56"/>
    <x v="3"/>
    <x v="9"/>
    <x v="7"/>
    <x v="127"/>
    <x v="3"/>
    <x v="122"/>
    <x v="125"/>
    <x v="128"/>
    <x v="128"/>
    <x v="4"/>
    <x v="128"/>
  </r>
  <r>
    <x v="129"/>
    <x v="3"/>
    <x v="111"/>
    <x v="0"/>
    <x v="3"/>
    <x v="6"/>
    <x v="128"/>
    <x v="120"/>
    <x v="123"/>
    <x v="126"/>
    <x v="129"/>
    <x v="129"/>
    <x v="2"/>
    <x v="129"/>
  </r>
  <r>
    <x v="130"/>
    <x v="0"/>
    <x v="58"/>
    <x v="3"/>
    <x v="0"/>
    <x v="0"/>
    <x v="129"/>
    <x v="121"/>
    <x v="124"/>
    <x v="6"/>
    <x v="130"/>
    <x v="130"/>
    <x v="4"/>
    <x v="130"/>
  </r>
  <r>
    <x v="131"/>
    <x v="2"/>
    <x v="43"/>
    <x v="2"/>
    <x v="2"/>
    <x v="2"/>
    <x v="130"/>
    <x v="122"/>
    <x v="112"/>
    <x v="127"/>
    <x v="131"/>
    <x v="131"/>
    <x v="1"/>
    <x v="131"/>
  </r>
  <r>
    <x v="132"/>
    <x v="1"/>
    <x v="112"/>
    <x v="1"/>
    <x v="2"/>
    <x v="2"/>
    <x v="131"/>
    <x v="123"/>
    <x v="125"/>
    <x v="128"/>
    <x v="132"/>
    <x v="132"/>
    <x v="4"/>
    <x v="132"/>
  </r>
  <r>
    <x v="133"/>
    <x v="3"/>
    <x v="83"/>
    <x v="1"/>
    <x v="9"/>
    <x v="7"/>
    <x v="132"/>
    <x v="124"/>
    <x v="126"/>
    <x v="129"/>
    <x v="133"/>
    <x v="133"/>
    <x v="3"/>
    <x v="133"/>
  </r>
  <r>
    <x v="134"/>
    <x v="3"/>
    <x v="59"/>
    <x v="0"/>
    <x v="3"/>
    <x v="6"/>
    <x v="133"/>
    <x v="125"/>
    <x v="127"/>
    <x v="130"/>
    <x v="134"/>
    <x v="134"/>
    <x v="4"/>
    <x v="134"/>
  </r>
  <r>
    <x v="135"/>
    <x v="3"/>
    <x v="113"/>
    <x v="3"/>
    <x v="9"/>
    <x v="7"/>
    <x v="134"/>
    <x v="126"/>
    <x v="77"/>
    <x v="131"/>
    <x v="135"/>
    <x v="135"/>
    <x v="1"/>
    <x v="135"/>
  </r>
  <r>
    <x v="136"/>
    <x v="0"/>
    <x v="114"/>
    <x v="0"/>
    <x v="4"/>
    <x v="4"/>
    <x v="135"/>
    <x v="7"/>
    <x v="128"/>
    <x v="62"/>
    <x v="136"/>
    <x v="136"/>
    <x v="1"/>
    <x v="136"/>
  </r>
  <r>
    <x v="137"/>
    <x v="2"/>
    <x v="115"/>
    <x v="3"/>
    <x v="3"/>
    <x v="3"/>
    <x v="136"/>
    <x v="127"/>
    <x v="8"/>
    <x v="132"/>
    <x v="137"/>
    <x v="137"/>
    <x v="2"/>
    <x v="137"/>
  </r>
  <r>
    <x v="138"/>
    <x v="3"/>
    <x v="61"/>
    <x v="1"/>
    <x v="10"/>
    <x v="10"/>
    <x v="137"/>
    <x v="128"/>
    <x v="129"/>
    <x v="133"/>
    <x v="138"/>
    <x v="138"/>
    <x v="4"/>
    <x v="138"/>
  </r>
  <r>
    <x v="139"/>
    <x v="1"/>
    <x v="116"/>
    <x v="2"/>
    <x v="4"/>
    <x v="4"/>
    <x v="138"/>
    <x v="129"/>
    <x v="130"/>
    <x v="134"/>
    <x v="139"/>
    <x v="139"/>
    <x v="0"/>
    <x v="139"/>
  </r>
  <r>
    <x v="140"/>
    <x v="2"/>
    <x v="65"/>
    <x v="1"/>
    <x v="0"/>
    <x v="0"/>
    <x v="139"/>
    <x v="130"/>
    <x v="131"/>
    <x v="135"/>
    <x v="140"/>
    <x v="140"/>
    <x v="4"/>
    <x v="140"/>
  </r>
  <r>
    <x v="141"/>
    <x v="0"/>
    <x v="104"/>
    <x v="2"/>
    <x v="10"/>
    <x v="10"/>
    <x v="140"/>
    <x v="131"/>
    <x v="65"/>
    <x v="130"/>
    <x v="141"/>
    <x v="141"/>
    <x v="2"/>
    <x v="141"/>
  </r>
  <r>
    <x v="142"/>
    <x v="1"/>
    <x v="66"/>
    <x v="1"/>
    <x v="0"/>
    <x v="0"/>
    <x v="141"/>
    <x v="132"/>
    <x v="132"/>
    <x v="136"/>
    <x v="142"/>
    <x v="142"/>
    <x v="4"/>
    <x v="142"/>
  </r>
  <r>
    <x v="143"/>
    <x v="1"/>
    <x v="117"/>
    <x v="1"/>
    <x v="4"/>
    <x v="4"/>
    <x v="142"/>
    <x v="133"/>
    <x v="133"/>
    <x v="137"/>
    <x v="143"/>
    <x v="143"/>
    <x v="0"/>
    <x v="143"/>
  </r>
  <r>
    <x v="144"/>
    <x v="2"/>
    <x v="79"/>
    <x v="3"/>
    <x v="5"/>
    <x v="5"/>
    <x v="143"/>
    <x v="134"/>
    <x v="134"/>
    <x v="138"/>
    <x v="144"/>
    <x v="144"/>
    <x v="4"/>
    <x v="144"/>
  </r>
  <r>
    <x v="145"/>
    <x v="0"/>
    <x v="118"/>
    <x v="2"/>
    <x v="4"/>
    <x v="4"/>
    <x v="144"/>
    <x v="135"/>
    <x v="135"/>
    <x v="139"/>
    <x v="145"/>
    <x v="145"/>
    <x v="1"/>
    <x v="145"/>
  </r>
  <r>
    <x v="146"/>
    <x v="0"/>
    <x v="119"/>
    <x v="0"/>
    <x v="8"/>
    <x v="9"/>
    <x v="145"/>
    <x v="136"/>
    <x v="136"/>
    <x v="140"/>
    <x v="146"/>
    <x v="146"/>
    <x v="3"/>
    <x v="146"/>
  </r>
  <r>
    <x v="147"/>
    <x v="1"/>
    <x v="120"/>
    <x v="1"/>
    <x v="10"/>
    <x v="10"/>
    <x v="146"/>
    <x v="137"/>
    <x v="137"/>
    <x v="141"/>
    <x v="147"/>
    <x v="147"/>
    <x v="0"/>
    <x v="147"/>
  </r>
  <r>
    <x v="148"/>
    <x v="1"/>
    <x v="121"/>
    <x v="2"/>
    <x v="3"/>
    <x v="3"/>
    <x v="147"/>
    <x v="138"/>
    <x v="138"/>
    <x v="142"/>
    <x v="148"/>
    <x v="148"/>
    <x v="3"/>
    <x v="148"/>
  </r>
  <r>
    <x v="149"/>
    <x v="1"/>
    <x v="122"/>
    <x v="3"/>
    <x v="0"/>
    <x v="0"/>
    <x v="64"/>
    <x v="139"/>
    <x v="139"/>
    <x v="143"/>
    <x v="149"/>
    <x v="149"/>
    <x v="2"/>
    <x v="149"/>
  </r>
  <r>
    <x v="150"/>
    <x v="1"/>
    <x v="32"/>
    <x v="3"/>
    <x v="7"/>
    <x v="8"/>
    <x v="148"/>
    <x v="140"/>
    <x v="140"/>
    <x v="144"/>
    <x v="150"/>
    <x v="150"/>
    <x v="1"/>
    <x v="150"/>
  </r>
  <r>
    <x v="151"/>
    <x v="1"/>
    <x v="123"/>
    <x v="0"/>
    <x v="2"/>
    <x v="2"/>
    <x v="149"/>
    <x v="141"/>
    <x v="77"/>
    <x v="145"/>
    <x v="151"/>
    <x v="151"/>
    <x v="0"/>
    <x v="151"/>
  </r>
  <r>
    <x v="152"/>
    <x v="0"/>
    <x v="112"/>
    <x v="3"/>
    <x v="0"/>
    <x v="0"/>
    <x v="150"/>
    <x v="142"/>
    <x v="141"/>
    <x v="146"/>
    <x v="152"/>
    <x v="152"/>
    <x v="4"/>
    <x v="152"/>
  </r>
  <r>
    <x v="153"/>
    <x v="3"/>
    <x v="124"/>
    <x v="1"/>
    <x v="6"/>
    <x v="7"/>
    <x v="151"/>
    <x v="143"/>
    <x v="106"/>
    <x v="147"/>
    <x v="153"/>
    <x v="153"/>
    <x v="1"/>
    <x v="153"/>
  </r>
  <r>
    <x v="154"/>
    <x v="0"/>
    <x v="78"/>
    <x v="0"/>
    <x v="3"/>
    <x v="6"/>
    <x v="152"/>
    <x v="144"/>
    <x v="142"/>
    <x v="148"/>
    <x v="154"/>
    <x v="154"/>
    <x v="0"/>
    <x v="154"/>
  </r>
  <r>
    <x v="155"/>
    <x v="3"/>
    <x v="49"/>
    <x v="1"/>
    <x v="5"/>
    <x v="5"/>
    <x v="153"/>
    <x v="145"/>
    <x v="73"/>
    <x v="149"/>
    <x v="155"/>
    <x v="155"/>
    <x v="2"/>
    <x v="155"/>
  </r>
  <r>
    <x v="156"/>
    <x v="0"/>
    <x v="125"/>
    <x v="1"/>
    <x v="8"/>
    <x v="9"/>
    <x v="154"/>
    <x v="146"/>
    <x v="143"/>
    <x v="150"/>
    <x v="156"/>
    <x v="156"/>
    <x v="1"/>
    <x v="156"/>
  </r>
  <r>
    <x v="157"/>
    <x v="3"/>
    <x v="126"/>
    <x v="2"/>
    <x v="5"/>
    <x v="5"/>
    <x v="155"/>
    <x v="147"/>
    <x v="144"/>
    <x v="151"/>
    <x v="157"/>
    <x v="157"/>
    <x v="3"/>
    <x v="157"/>
  </r>
  <r>
    <x v="158"/>
    <x v="0"/>
    <x v="127"/>
    <x v="2"/>
    <x v="2"/>
    <x v="2"/>
    <x v="156"/>
    <x v="148"/>
    <x v="145"/>
    <x v="152"/>
    <x v="158"/>
    <x v="158"/>
    <x v="4"/>
    <x v="158"/>
  </r>
  <r>
    <x v="159"/>
    <x v="0"/>
    <x v="128"/>
    <x v="1"/>
    <x v="2"/>
    <x v="2"/>
    <x v="157"/>
    <x v="149"/>
    <x v="146"/>
    <x v="153"/>
    <x v="159"/>
    <x v="159"/>
    <x v="1"/>
    <x v="159"/>
  </r>
  <r>
    <x v="160"/>
    <x v="1"/>
    <x v="129"/>
    <x v="2"/>
    <x v="1"/>
    <x v="1"/>
    <x v="158"/>
    <x v="150"/>
    <x v="68"/>
    <x v="154"/>
    <x v="160"/>
    <x v="160"/>
    <x v="4"/>
    <x v="160"/>
  </r>
  <r>
    <x v="161"/>
    <x v="0"/>
    <x v="130"/>
    <x v="1"/>
    <x v="8"/>
    <x v="9"/>
    <x v="159"/>
    <x v="151"/>
    <x v="147"/>
    <x v="155"/>
    <x v="161"/>
    <x v="161"/>
    <x v="2"/>
    <x v="161"/>
  </r>
  <r>
    <x v="162"/>
    <x v="2"/>
    <x v="131"/>
    <x v="2"/>
    <x v="9"/>
    <x v="7"/>
    <x v="160"/>
    <x v="152"/>
    <x v="148"/>
    <x v="156"/>
    <x v="162"/>
    <x v="162"/>
    <x v="0"/>
    <x v="162"/>
  </r>
  <r>
    <x v="163"/>
    <x v="2"/>
    <x v="132"/>
    <x v="0"/>
    <x v="0"/>
    <x v="0"/>
    <x v="161"/>
    <x v="153"/>
    <x v="30"/>
    <x v="114"/>
    <x v="163"/>
    <x v="163"/>
    <x v="1"/>
    <x v="163"/>
  </r>
  <r>
    <x v="164"/>
    <x v="2"/>
    <x v="133"/>
    <x v="1"/>
    <x v="5"/>
    <x v="5"/>
    <x v="162"/>
    <x v="63"/>
    <x v="149"/>
    <x v="157"/>
    <x v="164"/>
    <x v="164"/>
    <x v="2"/>
    <x v="164"/>
  </r>
  <r>
    <x v="165"/>
    <x v="3"/>
    <x v="134"/>
    <x v="3"/>
    <x v="0"/>
    <x v="0"/>
    <x v="163"/>
    <x v="154"/>
    <x v="150"/>
    <x v="158"/>
    <x v="165"/>
    <x v="165"/>
    <x v="0"/>
    <x v="165"/>
  </r>
  <r>
    <x v="166"/>
    <x v="1"/>
    <x v="41"/>
    <x v="0"/>
    <x v="0"/>
    <x v="0"/>
    <x v="164"/>
    <x v="155"/>
    <x v="69"/>
    <x v="159"/>
    <x v="166"/>
    <x v="166"/>
    <x v="1"/>
    <x v="166"/>
  </r>
  <r>
    <x v="167"/>
    <x v="3"/>
    <x v="135"/>
    <x v="1"/>
    <x v="9"/>
    <x v="7"/>
    <x v="165"/>
    <x v="56"/>
    <x v="151"/>
    <x v="160"/>
    <x v="167"/>
    <x v="167"/>
    <x v="2"/>
    <x v="167"/>
  </r>
  <r>
    <x v="168"/>
    <x v="1"/>
    <x v="68"/>
    <x v="0"/>
    <x v="7"/>
    <x v="8"/>
    <x v="166"/>
    <x v="156"/>
    <x v="143"/>
    <x v="9"/>
    <x v="168"/>
    <x v="168"/>
    <x v="4"/>
    <x v="168"/>
  </r>
  <r>
    <x v="169"/>
    <x v="3"/>
    <x v="136"/>
    <x v="2"/>
    <x v="7"/>
    <x v="8"/>
    <x v="167"/>
    <x v="157"/>
    <x v="11"/>
    <x v="161"/>
    <x v="169"/>
    <x v="169"/>
    <x v="2"/>
    <x v="169"/>
  </r>
  <r>
    <x v="170"/>
    <x v="2"/>
    <x v="71"/>
    <x v="1"/>
    <x v="10"/>
    <x v="10"/>
    <x v="168"/>
    <x v="158"/>
    <x v="152"/>
    <x v="162"/>
    <x v="170"/>
    <x v="170"/>
    <x v="4"/>
    <x v="170"/>
  </r>
  <r>
    <x v="171"/>
    <x v="2"/>
    <x v="137"/>
    <x v="1"/>
    <x v="8"/>
    <x v="9"/>
    <x v="169"/>
    <x v="159"/>
    <x v="153"/>
    <x v="163"/>
    <x v="171"/>
    <x v="171"/>
    <x v="0"/>
    <x v="171"/>
  </r>
  <r>
    <x v="172"/>
    <x v="3"/>
    <x v="138"/>
    <x v="2"/>
    <x v="4"/>
    <x v="4"/>
    <x v="170"/>
    <x v="160"/>
    <x v="154"/>
    <x v="164"/>
    <x v="172"/>
    <x v="172"/>
    <x v="3"/>
    <x v="172"/>
  </r>
  <r>
    <x v="173"/>
    <x v="2"/>
    <x v="28"/>
    <x v="1"/>
    <x v="7"/>
    <x v="8"/>
    <x v="171"/>
    <x v="161"/>
    <x v="155"/>
    <x v="165"/>
    <x v="173"/>
    <x v="173"/>
    <x v="1"/>
    <x v="173"/>
  </r>
  <r>
    <x v="174"/>
    <x v="2"/>
    <x v="8"/>
    <x v="3"/>
    <x v="9"/>
    <x v="7"/>
    <x v="172"/>
    <x v="162"/>
    <x v="156"/>
    <x v="166"/>
    <x v="174"/>
    <x v="174"/>
    <x v="4"/>
    <x v="174"/>
  </r>
  <r>
    <x v="175"/>
    <x v="3"/>
    <x v="139"/>
    <x v="1"/>
    <x v="4"/>
    <x v="4"/>
    <x v="173"/>
    <x v="163"/>
    <x v="157"/>
    <x v="167"/>
    <x v="175"/>
    <x v="175"/>
    <x v="3"/>
    <x v="175"/>
  </r>
  <r>
    <x v="176"/>
    <x v="0"/>
    <x v="127"/>
    <x v="0"/>
    <x v="10"/>
    <x v="10"/>
    <x v="174"/>
    <x v="164"/>
    <x v="154"/>
    <x v="168"/>
    <x v="176"/>
    <x v="176"/>
    <x v="4"/>
    <x v="176"/>
  </r>
  <r>
    <x v="177"/>
    <x v="0"/>
    <x v="140"/>
    <x v="0"/>
    <x v="3"/>
    <x v="3"/>
    <x v="175"/>
    <x v="165"/>
    <x v="158"/>
    <x v="169"/>
    <x v="177"/>
    <x v="177"/>
    <x v="3"/>
    <x v="177"/>
  </r>
  <r>
    <x v="178"/>
    <x v="1"/>
    <x v="31"/>
    <x v="2"/>
    <x v="5"/>
    <x v="5"/>
    <x v="176"/>
    <x v="166"/>
    <x v="159"/>
    <x v="170"/>
    <x v="178"/>
    <x v="178"/>
    <x v="1"/>
    <x v="178"/>
  </r>
  <r>
    <x v="179"/>
    <x v="1"/>
    <x v="141"/>
    <x v="0"/>
    <x v="9"/>
    <x v="7"/>
    <x v="177"/>
    <x v="167"/>
    <x v="160"/>
    <x v="171"/>
    <x v="179"/>
    <x v="179"/>
    <x v="1"/>
    <x v="179"/>
  </r>
  <r>
    <x v="180"/>
    <x v="3"/>
    <x v="31"/>
    <x v="3"/>
    <x v="3"/>
    <x v="6"/>
    <x v="178"/>
    <x v="168"/>
    <x v="161"/>
    <x v="172"/>
    <x v="180"/>
    <x v="180"/>
    <x v="1"/>
    <x v="180"/>
  </r>
  <r>
    <x v="181"/>
    <x v="1"/>
    <x v="11"/>
    <x v="2"/>
    <x v="3"/>
    <x v="6"/>
    <x v="179"/>
    <x v="169"/>
    <x v="162"/>
    <x v="96"/>
    <x v="181"/>
    <x v="181"/>
    <x v="4"/>
    <x v="181"/>
  </r>
  <r>
    <x v="182"/>
    <x v="3"/>
    <x v="22"/>
    <x v="0"/>
    <x v="6"/>
    <x v="7"/>
    <x v="180"/>
    <x v="170"/>
    <x v="163"/>
    <x v="173"/>
    <x v="182"/>
    <x v="182"/>
    <x v="4"/>
    <x v="182"/>
  </r>
  <r>
    <x v="183"/>
    <x v="2"/>
    <x v="142"/>
    <x v="3"/>
    <x v="2"/>
    <x v="2"/>
    <x v="181"/>
    <x v="171"/>
    <x v="103"/>
    <x v="174"/>
    <x v="183"/>
    <x v="183"/>
    <x v="3"/>
    <x v="183"/>
  </r>
  <r>
    <x v="184"/>
    <x v="1"/>
    <x v="27"/>
    <x v="3"/>
    <x v="1"/>
    <x v="1"/>
    <x v="182"/>
    <x v="83"/>
    <x v="116"/>
    <x v="175"/>
    <x v="184"/>
    <x v="184"/>
    <x v="4"/>
    <x v="184"/>
  </r>
  <r>
    <x v="185"/>
    <x v="2"/>
    <x v="96"/>
    <x v="2"/>
    <x v="6"/>
    <x v="7"/>
    <x v="183"/>
    <x v="168"/>
    <x v="164"/>
    <x v="176"/>
    <x v="185"/>
    <x v="185"/>
    <x v="0"/>
    <x v="185"/>
  </r>
  <r>
    <x v="186"/>
    <x v="2"/>
    <x v="143"/>
    <x v="0"/>
    <x v="10"/>
    <x v="10"/>
    <x v="184"/>
    <x v="172"/>
    <x v="165"/>
    <x v="177"/>
    <x v="186"/>
    <x v="186"/>
    <x v="0"/>
    <x v="186"/>
  </r>
  <r>
    <x v="187"/>
    <x v="2"/>
    <x v="144"/>
    <x v="1"/>
    <x v="8"/>
    <x v="9"/>
    <x v="185"/>
    <x v="173"/>
    <x v="166"/>
    <x v="178"/>
    <x v="187"/>
    <x v="187"/>
    <x v="0"/>
    <x v="187"/>
  </r>
  <r>
    <x v="188"/>
    <x v="1"/>
    <x v="145"/>
    <x v="3"/>
    <x v="5"/>
    <x v="5"/>
    <x v="186"/>
    <x v="174"/>
    <x v="167"/>
    <x v="179"/>
    <x v="188"/>
    <x v="188"/>
    <x v="4"/>
    <x v="188"/>
  </r>
  <r>
    <x v="189"/>
    <x v="3"/>
    <x v="39"/>
    <x v="3"/>
    <x v="2"/>
    <x v="2"/>
    <x v="187"/>
    <x v="153"/>
    <x v="168"/>
    <x v="8"/>
    <x v="189"/>
    <x v="189"/>
    <x v="4"/>
    <x v="189"/>
  </r>
  <r>
    <x v="190"/>
    <x v="1"/>
    <x v="48"/>
    <x v="0"/>
    <x v="3"/>
    <x v="3"/>
    <x v="188"/>
    <x v="175"/>
    <x v="169"/>
    <x v="180"/>
    <x v="190"/>
    <x v="190"/>
    <x v="4"/>
    <x v="190"/>
  </r>
  <r>
    <x v="191"/>
    <x v="0"/>
    <x v="119"/>
    <x v="2"/>
    <x v="8"/>
    <x v="9"/>
    <x v="189"/>
    <x v="176"/>
    <x v="170"/>
    <x v="181"/>
    <x v="191"/>
    <x v="191"/>
    <x v="2"/>
    <x v="191"/>
  </r>
  <r>
    <x v="192"/>
    <x v="0"/>
    <x v="51"/>
    <x v="2"/>
    <x v="9"/>
    <x v="7"/>
    <x v="190"/>
    <x v="177"/>
    <x v="171"/>
    <x v="182"/>
    <x v="192"/>
    <x v="192"/>
    <x v="4"/>
    <x v="192"/>
  </r>
  <r>
    <x v="193"/>
    <x v="2"/>
    <x v="82"/>
    <x v="3"/>
    <x v="4"/>
    <x v="4"/>
    <x v="191"/>
    <x v="178"/>
    <x v="172"/>
    <x v="183"/>
    <x v="193"/>
    <x v="193"/>
    <x v="0"/>
    <x v="193"/>
  </r>
  <r>
    <x v="194"/>
    <x v="2"/>
    <x v="146"/>
    <x v="1"/>
    <x v="0"/>
    <x v="0"/>
    <x v="192"/>
    <x v="179"/>
    <x v="173"/>
    <x v="184"/>
    <x v="194"/>
    <x v="194"/>
    <x v="2"/>
    <x v="194"/>
  </r>
  <r>
    <x v="195"/>
    <x v="3"/>
    <x v="147"/>
    <x v="3"/>
    <x v="2"/>
    <x v="2"/>
    <x v="193"/>
    <x v="180"/>
    <x v="146"/>
    <x v="185"/>
    <x v="195"/>
    <x v="195"/>
    <x v="1"/>
    <x v="195"/>
  </r>
  <r>
    <x v="196"/>
    <x v="2"/>
    <x v="148"/>
    <x v="3"/>
    <x v="2"/>
    <x v="2"/>
    <x v="194"/>
    <x v="181"/>
    <x v="174"/>
    <x v="167"/>
    <x v="196"/>
    <x v="196"/>
    <x v="4"/>
    <x v="196"/>
  </r>
  <r>
    <x v="197"/>
    <x v="2"/>
    <x v="149"/>
    <x v="0"/>
    <x v="10"/>
    <x v="10"/>
    <x v="195"/>
    <x v="182"/>
    <x v="175"/>
    <x v="186"/>
    <x v="197"/>
    <x v="197"/>
    <x v="4"/>
    <x v="197"/>
  </r>
  <r>
    <x v="198"/>
    <x v="0"/>
    <x v="99"/>
    <x v="3"/>
    <x v="0"/>
    <x v="0"/>
    <x v="196"/>
    <x v="183"/>
    <x v="173"/>
    <x v="116"/>
    <x v="198"/>
    <x v="198"/>
    <x v="0"/>
    <x v="198"/>
  </r>
  <r>
    <x v="199"/>
    <x v="1"/>
    <x v="150"/>
    <x v="2"/>
    <x v="3"/>
    <x v="6"/>
    <x v="197"/>
    <x v="184"/>
    <x v="176"/>
    <x v="187"/>
    <x v="199"/>
    <x v="199"/>
    <x v="0"/>
    <x v="199"/>
  </r>
  <r>
    <x v="200"/>
    <x v="2"/>
    <x v="151"/>
    <x v="3"/>
    <x v="6"/>
    <x v="7"/>
    <x v="198"/>
    <x v="185"/>
    <x v="177"/>
    <x v="188"/>
    <x v="200"/>
    <x v="200"/>
    <x v="0"/>
    <x v="200"/>
  </r>
  <r>
    <x v="201"/>
    <x v="2"/>
    <x v="13"/>
    <x v="0"/>
    <x v="1"/>
    <x v="1"/>
    <x v="199"/>
    <x v="186"/>
    <x v="2"/>
    <x v="189"/>
    <x v="201"/>
    <x v="201"/>
    <x v="2"/>
    <x v="201"/>
  </r>
  <r>
    <x v="202"/>
    <x v="0"/>
    <x v="121"/>
    <x v="2"/>
    <x v="1"/>
    <x v="1"/>
    <x v="200"/>
    <x v="187"/>
    <x v="178"/>
    <x v="190"/>
    <x v="202"/>
    <x v="202"/>
    <x v="3"/>
    <x v="202"/>
  </r>
  <r>
    <x v="203"/>
    <x v="3"/>
    <x v="152"/>
    <x v="1"/>
    <x v="8"/>
    <x v="9"/>
    <x v="201"/>
    <x v="188"/>
    <x v="105"/>
    <x v="191"/>
    <x v="203"/>
    <x v="203"/>
    <x v="2"/>
    <x v="203"/>
  </r>
  <r>
    <x v="204"/>
    <x v="3"/>
    <x v="153"/>
    <x v="3"/>
    <x v="5"/>
    <x v="5"/>
    <x v="202"/>
    <x v="189"/>
    <x v="179"/>
    <x v="192"/>
    <x v="204"/>
    <x v="204"/>
    <x v="1"/>
    <x v="204"/>
  </r>
  <r>
    <x v="205"/>
    <x v="2"/>
    <x v="154"/>
    <x v="1"/>
    <x v="3"/>
    <x v="6"/>
    <x v="203"/>
    <x v="190"/>
    <x v="26"/>
    <x v="193"/>
    <x v="205"/>
    <x v="205"/>
    <x v="4"/>
    <x v="205"/>
  </r>
  <r>
    <x v="206"/>
    <x v="0"/>
    <x v="155"/>
    <x v="3"/>
    <x v="2"/>
    <x v="2"/>
    <x v="204"/>
    <x v="191"/>
    <x v="48"/>
    <x v="194"/>
    <x v="206"/>
    <x v="206"/>
    <x v="2"/>
    <x v="206"/>
  </r>
  <r>
    <x v="207"/>
    <x v="2"/>
    <x v="38"/>
    <x v="1"/>
    <x v="8"/>
    <x v="9"/>
    <x v="205"/>
    <x v="192"/>
    <x v="180"/>
    <x v="195"/>
    <x v="207"/>
    <x v="207"/>
    <x v="3"/>
    <x v="207"/>
  </r>
  <r>
    <x v="208"/>
    <x v="3"/>
    <x v="156"/>
    <x v="0"/>
    <x v="2"/>
    <x v="2"/>
    <x v="206"/>
    <x v="193"/>
    <x v="181"/>
    <x v="196"/>
    <x v="208"/>
    <x v="208"/>
    <x v="4"/>
    <x v="208"/>
  </r>
  <r>
    <x v="209"/>
    <x v="2"/>
    <x v="157"/>
    <x v="0"/>
    <x v="2"/>
    <x v="2"/>
    <x v="207"/>
    <x v="194"/>
    <x v="182"/>
    <x v="197"/>
    <x v="209"/>
    <x v="209"/>
    <x v="4"/>
    <x v="209"/>
  </r>
  <r>
    <x v="210"/>
    <x v="1"/>
    <x v="120"/>
    <x v="3"/>
    <x v="2"/>
    <x v="2"/>
    <x v="208"/>
    <x v="195"/>
    <x v="183"/>
    <x v="198"/>
    <x v="210"/>
    <x v="210"/>
    <x v="1"/>
    <x v="210"/>
  </r>
  <r>
    <x v="211"/>
    <x v="3"/>
    <x v="124"/>
    <x v="3"/>
    <x v="3"/>
    <x v="6"/>
    <x v="209"/>
    <x v="196"/>
    <x v="184"/>
    <x v="199"/>
    <x v="211"/>
    <x v="211"/>
    <x v="3"/>
    <x v="211"/>
  </r>
  <r>
    <x v="212"/>
    <x v="2"/>
    <x v="158"/>
    <x v="0"/>
    <x v="8"/>
    <x v="9"/>
    <x v="210"/>
    <x v="197"/>
    <x v="101"/>
    <x v="200"/>
    <x v="212"/>
    <x v="212"/>
    <x v="4"/>
    <x v="212"/>
  </r>
  <r>
    <x v="213"/>
    <x v="2"/>
    <x v="159"/>
    <x v="3"/>
    <x v="10"/>
    <x v="10"/>
    <x v="211"/>
    <x v="198"/>
    <x v="185"/>
    <x v="201"/>
    <x v="213"/>
    <x v="213"/>
    <x v="3"/>
    <x v="213"/>
  </r>
  <r>
    <x v="214"/>
    <x v="0"/>
    <x v="160"/>
    <x v="0"/>
    <x v="8"/>
    <x v="9"/>
    <x v="212"/>
    <x v="199"/>
    <x v="186"/>
    <x v="202"/>
    <x v="214"/>
    <x v="214"/>
    <x v="4"/>
    <x v="214"/>
  </r>
  <r>
    <x v="215"/>
    <x v="1"/>
    <x v="161"/>
    <x v="2"/>
    <x v="3"/>
    <x v="6"/>
    <x v="213"/>
    <x v="200"/>
    <x v="187"/>
    <x v="203"/>
    <x v="215"/>
    <x v="215"/>
    <x v="4"/>
    <x v="215"/>
  </r>
  <r>
    <x v="216"/>
    <x v="1"/>
    <x v="43"/>
    <x v="0"/>
    <x v="7"/>
    <x v="8"/>
    <x v="214"/>
    <x v="201"/>
    <x v="188"/>
    <x v="204"/>
    <x v="216"/>
    <x v="216"/>
    <x v="1"/>
    <x v="216"/>
  </r>
  <r>
    <x v="217"/>
    <x v="2"/>
    <x v="162"/>
    <x v="2"/>
    <x v="3"/>
    <x v="6"/>
    <x v="215"/>
    <x v="202"/>
    <x v="84"/>
    <x v="205"/>
    <x v="217"/>
    <x v="217"/>
    <x v="3"/>
    <x v="217"/>
  </r>
  <r>
    <x v="218"/>
    <x v="3"/>
    <x v="163"/>
    <x v="0"/>
    <x v="1"/>
    <x v="1"/>
    <x v="216"/>
    <x v="203"/>
    <x v="48"/>
    <x v="206"/>
    <x v="218"/>
    <x v="218"/>
    <x v="1"/>
    <x v="218"/>
  </r>
  <r>
    <x v="219"/>
    <x v="1"/>
    <x v="164"/>
    <x v="3"/>
    <x v="7"/>
    <x v="8"/>
    <x v="217"/>
    <x v="204"/>
    <x v="189"/>
    <x v="207"/>
    <x v="219"/>
    <x v="219"/>
    <x v="3"/>
    <x v="219"/>
  </r>
  <r>
    <x v="220"/>
    <x v="0"/>
    <x v="111"/>
    <x v="0"/>
    <x v="10"/>
    <x v="10"/>
    <x v="218"/>
    <x v="205"/>
    <x v="38"/>
    <x v="208"/>
    <x v="220"/>
    <x v="220"/>
    <x v="1"/>
    <x v="220"/>
  </r>
  <r>
    <x v="221"/>
    <x v="1"/>
    <x v="165"/>
    <x v="2"/>
    <x v="3"/>
    <x v="6"/>
    <x v="219"/>
    <x v="206"/>
    <x v="190"/>
    <x v="209"/>
    <x v="221"/>
    <x v="221"/>
    <x v="3"/>
    <x v="221"/>
  </r>
  <r>
    <x v="222"/>
    <x v="2"/>
    <x v="166"/>
    <x v="3"/>
    <x v="0"/>
    <x v="0"/>
    <x v="220"/>
    <x v="207"/>
    <x v="20"/>
    <x v="210"/>
    <x v="222"/>
    <x v="222"/>
    <x v="1"/>
    <x v="222"/>
  </r>
  <r>
    <x v="223"/>
    <x v="2"/>
    <x v="130"/>
    <x v="3"/>
    <x v="5"/>
    <x v="5"/>
    <x v="221"/>
    <x v="74"/>
    <x v="191"/>
    <x v="211"/>
    <x v="223"/>
    <x v="223"/>
    <x v="1"/>
    <x v="223"/>
  </r>
  <r>
    <x v="224"/>
    <x v="1"/>
    <x v="80"/>
    <x v="0"/>
    <x v="3"/>
    <x v="6"/>
    <x v="222"/>
    <x v="208"/>
    <x v="130"/>
    <x v="212"/>
    <x v="224"/>
    <x v="224"/>
    <x v="3"/>
    <x v="224"/>
  </r>
  <r>
    <x v="225"/>
    <x v="3"/>
    <x v="167"/>
    <x v="2"/>
    <x v="3"/>
    <x v="6"/>
    <x v="223"/>
    <x v="209"/>
    <x v="192"/>
    <x v="213"/>
    <x v="225"/>
    <x v="225"/>
    <x v="2"/>
    <x v="225"/>
  </r>
  <r>
    <x v="226"/>
    <x v="0"/>
    <x v="168"/>
    <x v="0"/>
    <x v="2"/>
    <x v="2"/>
    <x v="224"/>
    <x v="210"/>
    <x v="193"/>
    <x v="214"/>
    <x v="226"/>
    <x v="226"/>
    <x v="4"/>
    <x v="226"/>
  </r>
  <r>
    <x v="227"/>
    <x v="1"/>
    <x v="134"/>
    <x v="3"/>
    <x v="5"/>
    <x v="5"/>
    <x v="225"/>
    <x v="211"/>
    <x v="194"/>
    <x v="215"/>
    <x v="227"/>
    <x v="227"/>
    <x v="1"/>
    <x v="227"/>
  </r>
  <r>
    <x v="228"/>
    <x v="1"/>
    <x v="169"/>
    <x v="1"/>
    <x v="7"/>
    <x v="8"/>
    <x v="226"/>
    <x v="212"/>
    <x v="195"/>
    <x v="216"/>
    <x v="228"/>
    <x v="228"/>
    <x v="1"/>
    <x v="228"/>
  </r>
  <r>
    <x v="229"/>
    <x v="3"/>
    <x v="170"/>
    <x v="3"/>
    <x v="0"/>
    <x v="0"/>
    <x v="227"/>
    <x v="213"/>
    <x v="196"/>
    <x v="217"/>
    <x v="229"/>
    <x v="229"/>
    <x v="1"/>
    <x v="229"/>
  </r>
  <r>
    <x v="230"/>
    <x v="2"/>
    <x v="171"/>
    <x v="1"/>
    <x v="8"/>
    <x v="9"/>
    <x v="228"/>
    <x v="214"/>
    <x v="197"/>
    <x v="218"/>
    <x v="230"/>
    <x v="230"/>
    <x v="4"/>
    <x v="230"/>
  </r>
  <r>
    <x v="231"/>
    <x v="1"/>
    <x v="152"/>
    <x v="2"/>
    <x v="10"/>
    <x v="10"/>
    <x v="229"/>
    <x v="92"/>
    <x v="5"/>
    <x v="219"/>
    <x v="231"/>
    <x v="231"/>
    <x v="3"/>
    <x v="231"/>
  </r>
  <r>
    <x v="232"/>
    <x v="3"/>
    <x v="172"/>
    <x v="0"/>
    <x v="2"/>
    <x v="2"/>
    <x v="230"/>
    <x v="215"/>
    <x v="198"/>
    <x v="220"/>
    <x v="232"/>
    <x v="232"/>
    <x v="0"/>
    <x v="232"/>
  </r>
  <r>
    <x v="233"/>
    <x v="3"/>
    <x v="173"/>
    <x v="2"/>
    <x v="0"/>
    <x v="0"/>
    <x v="231"/>
    <x v="216"/>
    <x v="199"/>
    <x v="221"/>
    <x v="233"/>
    <x v="233"/>
    <x v="4"/>
    <x v="233"/>
  </r>
  <r>
    <x v="234"/>
    <x v="0"/>
    <x v="174"/>
    <x v="0"/>
    <x v="5"/>
    <x v="5"/>
    <x v="232"/>
    <x v="217"/>
    <x v="26"/>
    <x v="222"/>
    <x v="234"/>
    <x v="234"/>
    <x v="0"/>
    <x v="234"/>
  </r>
  <r>
    <x v="235"/>
    <x v="2"/>
    <x v="175"/>
    <x v="1"/>
    <x v="10"/>
    <x v="10"/>
    <x v="233"/>
    <x v="218"/>
    <x v="200"/>
    <x v="223"/>
    <x v="235"/>
    <x v="235"/>
    <x v="2"/>
    <x v="235"/>
  </r>
  <r>
    <x v="236"/>
    <x v="0"/>
    <x v="119"/>
    <x v="2"/>
    <x v="0"/>
    <x v="0"/>
    <x v="234"/>
    <x v="193"/>
    <x v="201"/>
    <x v="224"/>
    <x v="236"/>
    <x v="236"/>
    <x v="0"/>
    <x v="236"/>
  </r>
  <r>
    <x v="237"/>
    <x v="3"/>
    <x v="176"/>
    <x v="3"/>
    <x v="7"/>
    <x v="8"/>
    <x v="235"/>
    <x v="219"/>
    <x v="202"/>
    <x v="225"/>
    <x v="237"/>
    <x v="237"/>
    <x v="2"/>
    <x v="237"/>
  </r>
  <r>
    <x v="238"/>
    <x v="2"/>
    <x v="177"/>
    <x v="1"/>
    <x v="4"/>
    <x v="4"/>
    <x v="236"/>
    <x v="220"/>
    <x v="149"/>
    <x v="226"/>
    <x v="238"/>
    <x v="238"/>
    <x v="2"/>
    <x v="238"/>
  </r>
  <r>
    <x v="239"/>
    <x v="3"/>
    <x v="92"/>
    <x v="1"/>
    <x v="5"/>
    <x v="5"/>
    <x v="237"/>
    <x v="221"/>
    <x v="24"/>
    <x v="157"/>
    <x v="239"/>
    <x v="239"/>
    <x v="3"/>
    <x v="239"/>
  </r>
  <r>
    <x v="240"/>
    <x v="2"/>
    <x v="178"/>
    <x v="1"/>
    <x v="1"/>
    <x v="1"/>
    <x v="238"/>
    <x v="222"/>
    <x v="63"/>
    <x v="227"/>
    <x v="240"/>
    <x v="240"/>
    <x v="4"/>
    <x v="240"/>
  </r>
  <r>
    <x v="241"/>
    <x v="2"/>
    <x v="35"/>
    <x v="1"/>
    <x v="9"/>
    <x v="7"/>
    <x v="239"/>
    <x v="223"/>
    <x v="203"/>
    <x v="228"/>
    <x v="241"/>
    <x v="241"/>
    <x v="0"/>
    <x v="241"/>
  </r>
  <r>
    <x v="242"/>
    <x v="1"/>
    <x v="179"/>
    <x v="1"/>
    <x v="10"/>
    <x v="10"/>
    <x v="240"/>
    <x v="224"/>
    <x v="204"/>
    <x v="229"/>
    <x v="242"/>
    <x v="242"/>
    <x v="0"/>
    <x v="242"/>
  </r>
  <r>
    <x v="243"/>
    <x v="1"/>
    <x v="129"/>
    <x v="2"/>
    <x v="8"/>
    <x v="9"/>
    <x v="241"/>
    <x v="225"/>
    <x v="205"/>
    <x v="230"/>
    <x v="188"/>
    <x v="243"/>
    <x v="4"/>
    <x v="243"/>
  </r>
  <r>
    <x v="244"/>
    <x v="3"/>
    <x v="180"/>
    <x v="2"/>
    <x v="7"/>
    <x v="8"/>
    <x v="242"/>
    <x v="226"/>
    <x v="206"/>
    <x v="231"/>
    <x v="243"/>
    <x v="244"/>
    <x v="1"/>
    <x v="244"/>
  </r>
  <r>
    <x v="245"/>
    <x v="2"/>
    <x v="44"/>
    <x v="1"/>
    <x v="4"/>
    <x v="4"/>
    <x v="243"/>
    <x v="54"/>
    <x v="207"/>
    <x v="232"/>
    <x v="244"/>
    <x v="245"/>
    <x v="1"/>
    <x v="245"/>
  </r>
  <r>
    <x v="246"/>
    <x v="2"/>
    <x v="7"/>
    <x v="2"/>
    <x v="4"/>
    <x v="4"/>
    <x v="244"/>
    <x v="227"/>
    <x v="208"/>
    <x v="233"/>
    <x v="245"/>
    <x v="246"/>
    <x v="1"/>
    <x v="246"/>
  </r>
  <r>
    <x v="247"/>
    <x v="2"/>
    <x v="181"/>
    <x v="2"/>
    <x v="10"/>
    <x v="10"/>
    <x v="245"/>
    <x v="228"/>
    <x v="209"/>
    <x v="234"/>
    <x v="246"/>
    <x v="247"/>
    <x v="1"/>
    <x v="247"/>
  </r>
  <r>
    <x v="248"/>
    <x v="1"/>
    <x v="60"/>
    <x v="0"/>
    <x v="5"/>
    <x v="5"/>
    <x v="246"/>
    <x v="229"/>
    <x v="210"/>
    <x v="235"/>
    <x v="247"/>
    <x v="248"/>
    <x v="2"/>
    <x v="248"/>
  </r>
  <r>
    <x v="249"/>
    <x v="1"/>
    <x v="26"/>
    <x v="0"/>
    <x v="10"/>
    <x v="10"/>
    <x v="247"/>
    <x v="230"/>
    <x v="211"/>
    <x v="236"/>
    <x v="248"/>
    <x v="249"/>
    <x v="3"/>
    <x v="249"/>
  </r>
  <r>
    <x v="250"/>
    <x v="1"/>
    <x v="146"/>
    <x v="3"/>
    <x v="8"/>
    <x v="9"/>
    <x v="248"/>
    <x v="231"/>
    <x v="110"/>
    <x v="237"/>
    <x v="249"/>
    <x v="250"/>
    <x v="2"/>
    <x v="250"/>
  </r>
  <r>
    <x v="251"/>
    <x v="3"/>
    <x v="182"/>
    <x v="0"/>
    <x v="8"/>
    <x v="9"/>
    <x v="249"/>
    <x v="232"/>
    <x v="212"/>
    <x v="238"/>
    <x v="250"/>
    <x v="251"/>
    <x v="3"/>
    <x v="251"/>
  </r>
  <r>
    <x v="252"/>
    <x v="1"/>
    <x v="183"/>
    <x v="3"/>
    <x v="4"/>
    <x v="4"/>
    <x v="250"/>
    <x v="233"/>
    <x v="213"/>
    <x v="239"/>
    <x v="251"/>
    <x v="252"/>
    <x v="4"/>
    <x v="252"/>
  </r>
  <r>
    <x v="253"/>
    <x v="3"/>
    <x v="124"/>
    <x v="2"/>
    <x v="0"/>
    <x v="0"/>
    <x v="251"/>
    <x v="234"/>
    <x v="214"/>
    <x v="240"/>
    <x v="252"/>
    <x v="253"/>
    <x v="1"/>
    <x v="253"/>
  </r>
  <r>
    <x v="254"/>
    <x v="2"/>
    <x v="184"/>
    <x v="2"/>
    <x v="2"/>
    <x v="2"/>
    <x v="252"/>
    <x v="235"/>
    <x v="215"/>
    <x v="241"/>
    <x v="253"/>
    <x v="254"/>
    <x v="4"/>
    <x v="254"/>
  </r>
  <r>
    <x v="255"/>
    <x v="2"/>
    <x v="185"/>
    <x v="2"/>
    <x v="3"/>
    <x v="6"/>
    <x v="253"/>
    <x v="236"/>
    <x v="216"/>
    <x v="242"/>
    <x v="254"/>
    <x v="255"/>
    <x v="2"/>
    <x v="255"/>
  </r>
  <r>
    <x v="256"/>
    <x v="3"/>
    <x v="34"/>
    <x v="0"/>
    <x v="8"/>
    <x v="9"/>
    <x v="254"/>
    <x v="237"/>
    <x v="217"/>
    <x v="243"/>
    <x v="255"/>
    <x v="256"/>
    <x v="0"/>
    <x v="256"/>
  </r>
  <r>
    <x v="257"/>
    <x v="3"/>
    <x v="38"/>
    <x v="0"/>
    <x v="3"/>
    <x v="3"/>
    <x v="255"/>
    <x v="86"/>
    <x v="178"/>
    <x v="244"/>
    <x v="256"/>
    <x v="257"/>
    <x v="0"/>
    <x v="257"/>
  </r>
  <r>
    <x v="258"/>
    <x v="3"/>
    <x v="186"/>
    <x v="0"/>
    <x v="8"/>
    <x v="9"/>
    <x v="256"/>
    <x v="238"/>
    <x v="117"/>
    <x v="245"/>
    <x v="257"/>
    <x v="258"/>
    <x v="4"/>
    <x v="258"/>
  </r>
  <r>
    <x v="259"/>
    <x v="2"/>
    <x v="80"/>
    <x v="0"/>
    <x v="4"/>
    <x v="4"/>
    <x v="257"/>
    <x v="239"/>
    <x v="218"/>
    <x v="246"/>
    <x v="258"/>
    <x v="259"/>
    <x v="2"/>
    <x v="259"/>
  </r>
  <r>
    <x v="260"/>
    <x v="3"/>
    <x v="187"/>
    <x v="0"/>
    <x v="6"/>
    <x v="7"/>
    <x v="258"/>
    <x v="69"/>
    <x v="23"/>
    <x v="247"/>
    <x v="259"/>
    <x v="260"/>
    <x v="4"/>
    <x v="260"/>
  </r>
  <r>
    <x v="261"/>
    <x v="3"/>
    <x v="188"/>
    <x v="3"/>
    <x v="7"/>
    <x v="8"/>
    <x v="259"/>
    <x v="240"/>
    <x v="219"/>
    <x v="248"/>
    <x v="260"/>
    <x v="261"/>
    <x v="2"/>
    <x v="261"/>
  </r>
  <r>
    <x v="262"/>
    <x v="3"/>
    <x v="24"/>
    <x v="1"/>
    <x v="5"/>
    <x v="5"/>
    <x v="260"/>
    <x v="241"/>
    <x v="220"/>
    <x v="249"/>
    <x v="261"/>
    <x v="262"/>
    <x v="3"/>
    <x v="262"/>
  </r>
  <r>
    <x v="263"/>
    <x v="1"/>
    <x v="7"/>
    <x v="3"/>
    <x v="4"/>
    <x v="4"/>
    <x v="261"/>
    <x v="163"/>
    <x v="221"/>
    <x v="250"/>
    <x v="262"/>
    <x v="263"/>
    <x v="0"/>
    <x v="263"/>
  </r>
  <r>
    <x v="264"/>
    <x v="1"/>
    <x v="189"/>
    <x v="0"/>
    <x v="5"/>
    <x v="5"/>
    <x v="262"/>
    <x v="242"/>
    <x v="222"/>
    <x v="251"/>
    <x v="263"/>
    <x v="264"/>
    <x v="2"/>
    <x v="264"/>
  </r>
  <r>
    <x v="265"/>
    <x v="2"/>
    <x v="190"/>
    <x v="0"/>
    <x v="0"/>
    <x v="0"/>
    <x v="263"/>
    <x v="156"/>
    <x v="223"/>
    <x v="116"/>
    <x v="264"/>
    <x v="265"/>
    <x v="3"/>
    <x v="265"/>
  </r>
  <r>
    <x v="266"/>
    <x v="1"/>
    <x v="191"/>
    <x v="3"/>
    <x v="3"/>
    <x v="3"/>
    <x v="264"/>
    <x v="21"/>
    <x v="224"/>
    <x v="252"/>
    <x v="265"/>
    <x v="266"/>
    <x v="2"/>
    <x v="266"/>
  </r>
  <r>
    <x v="267"/>
    <x v="3"/>
    <x v="192"/>
    <x v="0"/>
    <x v="10"/>
    <x v="10"/>
    <x v="265"/>
    <x v="243"/>
    <x v="225"/>
    <x v="253"/>
    <x v="266"/>
    <x v="267"/>
    <x v="0"/>
    <x v="267"/>
  </r>
  <r>
    <x v="268"/>
    <x v="0"/>
    <x v="14"/>
    <x v="3"/>
    <x v="3"/>
    <x v="6"/>
    <x v="266"/>
    <x v="244"/>
    <x v="226"/>
    <x v="254"/>
    <x v="267"/>
    <x v="268"/>
    <x v="1"/>
    <x v="268"/>
  </r>
  <r>
    <x v="269"/>
    <x v="1"/>
    <x v="36"/>
    <x v="3"/>
    <x v="2"/>
    <x v="2"/>
    <x v="267"/>
    <x v="245"/>
    <x v="227"/>
    <x v="20"/>
    <x v="268"/>
    <x v="269"/>
    <x v="3"/>
    <x v="269"/>
  </r>
  <r>
    <x v="270"/>
    <x v="3"/>
    <x v="193"/>
    <x v="0"/>
    <x v="7"/>
    <x v="8"/>
    <x v="268"/>
    <x v="246"/>
    <x v="228"/>
    <x v="255"/>
    <x v="269"/>
    <x v="270"/>
    <x v="1"/>
    <x v="270"/>
  </r>
  <r>
    <x v="271"/>
    <x v="2"/>
    <x v="89"/>
    <x v="2"/>
    <x v="10"/>
    <x v="10"/>
    <x v="269"/>
    <x v="247"/>
    <x v="229"/>
    <x v="256"/>
    <x v="270"/>
    <x v="271"/>
    <x v="0"/>
    <x v="271"/>
  </r>
  <r>
    <x v="272"/>
    <x v="0"/>
    <x v="194"/>
    <x v="1"/>
    <x v="3"/>
    <x v="6"/>
    <x v="270"/>
    <x v="248"/>
    <x v="115"/>
    <x v="257"/>
    <x v="271"/>
    <x v="272"/>
    <x v="2"/>
    <x v="272"/>
  </r>
  <r>
    <x v="273"/>
    <x v="3"/>
    <x v="146"/>
    <x v="1"/>
    <x v="10"/>
    <x v="10"/>
    <x v="271"/>
    <x v="249"/>
    <x v="230"/>
    <x v="258"/>
    <x v="272"/>
    <x v="273"/>
    <x v="2"/>
    <x v="273"/>
  </r>
  <r>
    <x v="274"/>
    <x v="1"/>
    <x v="136"/>
    <x v="1"/>
    <x v="7"/>
    <x v="8"/>
    <x v="272"/>
    <x v="250"/>
    <x v="139"/>
    <x v="259"/>
    <x v="273"/>
    <x v="274"/>
    <x v="1"/>
    <x v="274"/>
  </r>
  <r>
    <x v="275"/>
    <x v="3"/>
    <x v="7"/>
    <x v="1"/>
    <x v="3"/>
    <x v="3"/>
    <x v="273"/>
    <x v="226"/>
    <x v="192"/>
    <x v="260"/>
    <x v="274"/>
    <x v="275"/>
    <x v="1"/>
    <x v="275"/>
  </r>
  <r>
    <x v="276"/>
    <x v="2"/>
    <x v="191"/>
    <x v="2"/>
    <x v="5"/>
    <x v="5"/>
    <x v="90"/>
    <x v="251"/>
    <x v="230"/>
    <x v="261"/>
    <x v="275"/>
    <x v="276"/>
    <x v="0"/>
    <x v="276"/>
  </r>
  <r>
    <x v="277"/>
    <x v="1"/>
    <x v="195"/>
    <x v="0"/>
    <x v="1"/>
    <x v="1"/>
    <x v="274"/>
    <x v="47"/>
    <x v="231"/>
    <x v="154"/>
    <x v="276"/>
    <x v="277"/>
    <x v="3"/>
    <x v="277"/>
  </r>
  <r>
    <x v="278"/>
    <x v="0"/>
    <x v="196"/>
    <x v="1"/>
    <x v="6"/>
    <x v="7"/>
    <x v="275"/>
    <x v="148"/>
    <x v="232"/>
    <x v="262"/>
    <x v="277"/>
    <x v="278"/>
    <x v="2"/>
    <x v="278"/>
  </r>
  <r>
    <x v="279"/>
    <x v="3"/>
    <x v="196"/>
    <x v="3"/>
    <x v="3"/>
    <x v="6"/>
    <x v="276"/>
    <x v="252"/>
    <x v="118"/>
    <x v="263"/>
    <x v="278"/>
    <x v="279"/>
    <x v="2"/>
    <x v="279"/>
  </r>
  <r>
    <x v="280"/>
    <x v="1"/>
    <x v="197"/>
    <x v="3"/>
    <x v="2"/>
    <x v="2"/>
    <x v="277"/>
    <x v="253"/>
    <x v="233"/>
    <x v="264"/>
    <x v="279"/>
    <x v="280"/>
    <x v="3"/>
    <x v="280"/>
  </r>
  <r>
    <x v="281"/>
    <x v="2"/>
    <x v="198"/>
    <x v="2"/>
    <x v="7"/>
    <x v="8"/>
    <x v="278"/>
    <x v="254"/>
    <x v="234"/>
    <x v="82"/>
    <x v="280"/>
    <x v="281"/>
    <x v="4"/>
    <x v="281"/>
  </r>
  <r>
    <x v="282"/>
    <x v="0"/>
    <x v="199"/>
    <x v="3"/>
    <x v="8"/>
    <x v="9"/>
    <x v="279"/>
    <x v="255"/>
    <x v="136"/>
    <x v="265"/>
    <x v="281"/>
    <x v="282"/>
    <x v="0"/>
    <x v="282"/>
  </r>
  <r>
    <x v="283"/>
    <x v="1"/>
    <x v="200"/>
    <x v="1"/>
    <x v="10"/>
    <x v="10"/>
    <x v="280"/>
    <x v="256"/>
    <x v="235"/>
    <x v="266"/>
    <x v="282"/>
    <x v="283"/>
    <x v="4"/>
    <x v="283"/>
  </r>
  <r>
    <x v="284"/>
    <x v="2"/>
    <x v="201"/>
    <x v="0"/>
    <x v="5"/>
    <x v="5"/>
    <x v="281"/>
    <x v="257"/>
    <x v="32"/>
    <x v="267"/>
    <x v="283"/>
    <x v="284"/>
    <x v="1"/>
    <x v="284"/>
  </r>
  <r>
    <x v="285"/>
    <x v="1"/>
    <x v="202"/>
    <x v="2"/>
    <x v="6"/>
    <x v="7"/>
    <x v="282"/>
    <x v="258"/>
    <x v="99"/>
    <x v="246"/>
    <x v="284"/>
    <x v="285"/>
    <x v="2"/>
    <x v="285"/>
  </r>
  <r>
    <x v="286"/>
    <x v="2"/>
    <x v="136"/>
    <x v="1"/>
    <x v="2"/>
    <x v="2"/>
    <x v="283"/>
    <x v="259"/>
    <x v="236"/>
    <x v="268"/>
    <x v="285"/>
    <x v="286"/>
    <x v="3"/>
    <x v="286"/>
  </r>
  <r>
    <x v="287"/>
    <x v="2"/>
    <x v="203"/>
    <x v="0"/>
    <x v="3"/>
    <x v="3"/>
    <x v="284"/>
    <x v="260"/>
    <x v="237"/>
    <x v="269"/>
    <x v="286"/>
    <x v="287"/>
    <x v="2"/>
    <x v="287"/>
  </r>
  <r>
    <x v="288"/>
    <x v="0"/>
    <x v="204"/>
    <x v="0"/>
    <x v="2"/>
    <x v="2"/>
    <x v="285"/>
    <x v="261"/>
    <x v="80"/>
    <x v="270"/>
    <x v="287"/>
    <x v="288"/>
    <x v="1"/>
    <x v="288"/>
  </r>
  <r>
    <x v="289"/>
    <x v="1"/>
    <x v="205"/>
    <x v="0"/>
    <x v="2"/>
    <x v="2"/>
    <x v="286"/>
    <x v="262"/>
    <x v="238"/>
    <x v="271"/>
    <x v="288"/>
    <x v="289"/>
    <x v="4"/>
    <x v="289"/>
  </r>
  <r>
    <x v="290"/>
    <x v="0"/>
    <x v="206"/>
    <x v="1"/>
    <x v="3"/>
    <x v="3"/>
    <x v="75"/>
    <x v="263"/>
    <x v="147"/>
    <x v="272"/>
    <x v="289"/>
    <x v="290"/>
    <x v="2"/>
    <x v="290"/>
  </r>
  <r>
    <x v="291"/>
    <x v="0"/>
    <x v="207"/>
    <x v="0"/>
    <x v="2"/>
    <x v="2"/>
    <x v="287"/>
    <x v="264"/>
    <x v="239"/>
    <x v="273"/>
    <x v="290"/>
    <x v="291"/>
    <x v="0"/>
    <x v="291"/>
  </r>
  <r>
    <x v="292"/>
    <x v="0"/>
    <x v="194"/>
    <x v="0"/>
    <x v="4"/>
    <x v="4"/>
    <x v="288"/>
    <x v="265"/>
    <x v="240"/>
    <x v="274"/>
    <x v="291"/>
    <x v="292"/>
    <x v="0"/>
    <x v="292"/>
  </r>
  <r>
    <x v="293"/>
    <x v="1"/>
    <x v="132"/>
    <x v="3"/>
    <x v="8"/>
    <x v="9"/>
    <x v="289"/>
    <x v="266"/>
    <x v="117"/>
    <x v="275"/>
    <x v="292"/>
    <x v="293"/>
    <x v="0"/>
    <x v="293"/>
  </r>
  <r>
    <x v="294"/>
    <x v="0"/>
    <x v="208"/>
    <x v="2"/>
    <x v="5"/>
    <x v="5"/>
    <x v="290"/>
    <x v="267"/>
    <x v="241"/>
    <x v="276"/>
    <x v="293"/>
    <x v="294"/>
    <x v="4"/>
    <x v="294"/>
  </r>
  <r>
    <x v="295"/>
    <x v="0"/>
    <x v="68"/>
    <x v="0"/>
    <x v="6"/>
    <x v="7"/>
    <x v="291"/>
    <x v="67"/>
    <x v="242"/>
    <x v="277"/>
    <x v="294"/>
    <x v="295"/>
    <x v="4"/>
    <x v="295"/>
  </r>
  <r>
    <x v="296"/>
    <x v="2"/>
    <x v="209"/>
    <x v="0"/>
    <x v="5"/>
    <x v="5"/>
    <x v="292"/>
    <x v="268"/>
    <x v="243"/>
    <x v="278"/>
    <x v="295"/>
    <x v="296"/>
    <x v="3"/>
    <x v="296"/>
  </r>
  <r>
    <x v="297"/>
    <x v="3"/>
    <x v="71"/>
    <x v="3"/>
    <x v="6"/>
    <x v="7"/>
    <x v="293"/>
    <x v="236"/>
    <x v="244"/>
    <x v="140"/>
    <x v="296"/>
    <x v="297"/>
    <x v="4"/>
    <x v="297"/>
  </r>
  <r>
    <x v="298"/>
    <x v="0"/>
    <x v="52"/>
    <x v="1"/>
    <x v="4"/>
    <x v="4"/>
    <x v="294"/>
    <x v="269"/>
    <x v="245"/>
    <x v="279"/>
    <x v="297"/>
    <x v="298"/>
    <x v="2"/>
    <x v="298"/>
  </r>
  <r>
    <x v="299"/>
    <x v="2"/>
    <x v="137"/>
    <x v="3"/>
    <x v="7"/>
    <x v="8"/>
    <x v="295"/>
    <x v="270"/>
    <x v="127"/>
    <x v="280"/>
    <x v="43"/>
    <x v="299"/>
    <x v="1"/>
    <x v="299"/>
  </r>
  <r>
    <x v="300"/>
    <x v="4"/>
    <x v="210"/>
    <x v="4"/>
    <x v="11"/>
    <x v="11"/>
    <x v="296"/>
    <x v="271"/>
    <x v="246"/>
    <x v="281"/>
    <x v="298"/>
    <x v="300"/>
    <x v="5"/>
    <x v="300"/>
  </r>
</pivotCacheRecords>
</file>

<file path=xl/pivotCache/pivotCacheRecords5.xml><?xml version="1.0" encoding="utf-8"?>
<pivotCacheRecords xmlns:r="http://schemas.openxmlformats.org/officeDocument/2006/relationships" xmlns="http://schemas.openxmlformats.org/spreadsheetml/2006/main" count="5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4"/>
    <x v="4"/>
    <x v="4"/>
    <x v="4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2.xml.rels>&#65279;<?xml version="1.0" encoding="utf-8"?><Relationships xmlns="http://schemas.openxmlformats.org/package/2006/relationships"><Relationship Id="rId2" Type="http://schemas.openxmlformats.org/officeDocument/2006/relationships/pivotCacheDefinition" Target="../pivotCache/pivotCacheDefinition3.xml" /></Relationships>
</file>

<file path=xl/pivotTables/_rels/pivotTable3.xml.rels>&#65279;<?xml version="1.0" encoding="utf-8"?><Relationships xmlns="http://schemas.openxmlformats.org/package/2006/relationships"><Relationship Id="rId3" Type="http://schemas.openxmlformats.org/officeDocument/2006/relationships/pivotCacheDefinition" Target="../pivotCache/pivotCacheDefinition2.xml" /></Relationships>
</file>

<file path=xl/pivotTables/_rels/pivotTable4.xml.rels>&#65279;<?xml version="1.0" encoding="utf-8"?><Relationships xmlns="http://schemas.openxmlformats.org/package/2006/relationships"><Relationship Id="rId4" Type="http://schemas.openxmlformats.org/officeDocument/2006/relationships/pivotCacheDefinition" Target="../pivotCache/pivotCacheDefinition1.xml" /></Relationships>
</file>

<file path=xl/pivotTables/_rels/pivotTable5.xml.rels>&#65279;<?xml version="1.0" encoding="utf-8"?><Relationships xmlns="http://schemas.openxmlformats.org/package/2006/relationships"><Relationship Id="rId5" Type="http://schemas.openxmlformats.org/officeDocument/2006/relationships/pivotCacheDefinition" Target="../pivotCache/pivotCacheDefinition2.xml" /></Relationships>
</file>

<file path=xl/pivotTables/_rels/pivotTable6.xml.rels>&#65279;<?xml version="1.0" encoding="utf-8"?><Relationships xmlns="http://schemas.openxmlformats.org/package/2006/relationships"><Relationship Id="rId6" Type="http://schemas.openxmlformats.org/officeDocument/2006/relationships/pivotCacheDefinition" Target="../pivotCache/pivotCacheDefinition2.xml" /></Relationships>
</file>

<file path=xl/pivotTables/_rels/pivotTable7.xml.rels>&#65279;<?xml version="1.0" encoding="utf-8"?><Relationships xmlns="http://schemas.openxmlformats.org/package/2006/relationships"><Relationship Id="rId7" Type="http://schemas.openxmlformats.org/officeDocument/2006/relationships/pivotCacheDefinition" Target="../pivotCache/pivotCacheDefinition2.xml" /></Relationships>
</file>

<file path=xl/pivotTables/_rels/pivotTable8.xml.rels>&#65279;<?xml version="1.0" encoding="utf-8"?><Relationships xmlns="http://schemas.openxmlformats.org/package/2006/relationships"><Relationship Id="rId8" Type="http://schemas.openxmlformats.org/officeDocument/2006/relationships/pivotCacheDefinition" Target="../pivotCache/pivotCacheDefinition3.xml" /></Relationships>
</file>

<file path=xl/pivotTables/_rels/pivotTable9.xml.rels>&#65279;<?xml version="1.0" encoding="utf-8"?><Relationships xmlns="http://schemas.openxmlformats.org/package/2006/relationships"><Relationship Id="rId9" Type="http://schemas.openxmlformats.org/officeDocument/2006/relationships/pivotCacheDefinition" Target="../pivotCache/pivotCacheDefinition3.xml" /></Relationships>
</file>

<file path=xl/pivotTables/_rels/pivotTable10.xml.rels>&#65279;<?xml version="1.0" encoding="utf-8"?><Relationships xmlns="http://schemas.openxmlformats.org/package/2006/relationships"><Relationship Id="rId10" Type="http://schemas.openxmlformats.org/officeDocument/2006/relationships/pivotCacheDefinition" Target="../pivotCache/pivotCacheDefinition4.xml" /></Relationships>
</file>

<file path=xl/pivotTables/_rels/pivotTable11.xml.rels>&#65279;<?xml version="1.0" encoding="utf-8"?><Relationships xmlns="http://schemas.openxmlformats.org/package/2006/relationships"><Relationship Id="rId11" Type="http://schemas.openxmlformats.org/officeDocument/2006/relationships/pivotCacheDefinition" Target="../pivotCache/pivotCacheDefinition5.xml" /></Relationships>
</file>

<file path=xl/pivotTables/_rels/pivotTable12.xml.rels>&#65279;<?xml version="1.0" encoding="utf-8"?><Relationships xmlns="http://schemas.openxmlformats.org/package/2006/relationships"><Relationship Id="rId12" Type="http://schemas.openxmlformats.org/officeDocument/2006/relationships/pivotCacheDefinition" Target="../pivotCache/pivotCacheDefinition3.xml" /></Relationships>
</file>

<file path=xl/pivotTables/_rels/pivotTable13.xml.rels>&#65279;<?xml version="1.0" encoding="utf-8"?><Relationships xmlns="http://schemas.openxmlformats.org/package/2006/relationships"><Relationship Id="rId13" Type="http://schemas.openxmlformats.org/officeDocument/2006/relationships/pivotCacheDefinition" Target="../pivotCache/pivotCacheDefinition2.xml" /></Relationships>
</file>

<file path=xl/pivotTables/_rels/pivotTable14.xml.rels>&#65279;<?xml version="1.0" encoding="utf-8"?><Relationships xmlns="http://schemas.openxmlformats.org/package/2006/relationships"><Relationship Id="rId14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F3:H15" firstHeaderRow="1" firstDataRow="1" firstDataCol="2"/>
  <pivotFields count="14">
    <pivotField compact="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64" showAll="0">
      <items count="211">
        <item x="122"/>
        <item x="125"/>
        <item x="25"/>
        <item x="133"/>
        <item x="0"/>
        <item x="29"/>
        <item x="146"/>
        <item x="9"/>
        <item x="49"/>
        <item x="86"/>
        <item x="166"/>
        <item x="99"/>
        <item x="196"/>
        <item x="181"/>
        <item x="91"/>
        <item x="40"/>
        <item x="201"/>
        <item x="97"/>
        <item x="162"/>
        <item x="13"/>
        <item x="78"/>
        <item x="20"/>
        <item x="194"/>
        <item x="180"/>
        <item x="23"/>
        <item x="75"/>
        <item x="128"/>
        <item x="206"/>
        <item x="43"/>
        <item x="150"/>
        <item x="31"/>
        <item x="90"/>
        <item x="12"/>
        <item x="5"/>
        <item x="21"/>
        <item x="124"/>
        <item x="118"/>
        <item x="83"/>
        <item x="191"/>
        <item x="175"/>
        <item x="18"/>
        <item x="35"/>
        <item x="136"/>
        <item x="38"/>
        <item x="204"/>
        <item x="193"/>
        <item x="131"/>
        <item x="4"/>
        <item x="33"/>
        <item x="2"/>
        <item x="163"/>
        <item x="82"/>
        <item x="37"/>
        <item x="120"/>
        <item x="103"/>
        <item x="179"/>
        <item x="152"/>
        <item x="172"/>
        <item x="113"/>
        <item x="10"/>
        <item x="144"/>
        <item x="177"/>
        <item x="16"/>
        <item x="84"/>
        <item x="189"/>
        <item x="1"/>
        <item x="159"/>
        <item x="3"/>
        <item x="17"/>
        <item x="95"/>
        <item x="209"/>
        <item x="19"/>
        <item x="7"/>
        <item x="119"/>
        <item x="105"/>
        <item x="26"/>
        <item x="185"/>
        <item x="135"/>
        <item x="174"/>
        <item x="147"/>
        <item x="114"/>
        <item x="6"/>
        <item x="199"/>
        <item x="77"/>
        <item x="190"/>
        <item x="142"/>
        <item x="202"/>
        <item x="100"/>
        <item x="88"/>
        <item x="80"/>
        <item x="64"/>
        <item x="126"/>
        <item x="60"/>
        <item x="93"/>
        <item x="130"/>
        <item x="67"/>
        <item x="155"/>
        <item x="45"/>
        <item x="176"/>
        <item x="121"/>
        <item x="137"/>
        <item x="72"/>
        <item x="141"/>
        <item x="164"/>
        <item x="92"/>
        <item x="170"/>
        <item x="138"/>
        <item x="187"/>
        <item x="110"/>
        <item x="96"/>
        <item x="104"/>
        <item x="117"/>
        <item x="14"/>
        <item x="41"/>
        <item x="102"/>
        <item x="203"/>
        <item x="55"/>
        <item x="30"/>
        <item x="53"/>
        <item x="186"/>
        <item x="167"/>
        <item x="62"/>
        <item x="139"/>
        <item x="101"/>
        <item x="47"/>
        <item x="69"/>
        <item x="134"/>
        <item x="28"/>
        <item x="109"/>
        <item x="145"/>
        <item x="183"/>
        <item x="46"/>
        <item x="197"/>
        <item x="140"/>
        <item x="87"/>
        <item x="132"/>
        <item x="151"/>
        <item x="182"/>
        <item x="94"/>
        <item x="36"/>
        <item x="34"/>
        <item x="207"/>
        <item x="24"/>
        <item x="50"/>
        <item x="178"/>
        <item x="98"/>
        <item x="44"/>
        <item x="81"/>
        <item x="15"/>
        <item x="111"/>
        <item x="123"/>
        <item x="57"/>
        <item x="107"/>
        <item x="165"/>
        <item x="42"/>
        <item x="173"/>
        <item x="76"/>
        <item x="63"/>
        <item x="188"/>
        <item x="116"/>
        <item x="89"/>
        <item x="74"/>
        <item x="184"/>
        <item x="171"/>
        <item x="195"/>
        <item x="143"/>
        <item x="129"/>
        <item x="168"/>
        <item x="32"/>
        <item x="169"/>
        <item x="127"/>
        <item x="161"/>
        <item x="85"/>
        <item x="112"/>
        <item x="160"/>
        <item x="61"/>
        <item x="59"/>
        <item x="58"/>
        <item x="56"/>
        <item x="54"/>
        <item x="51"/>
        <item x="48"/>
        <item x="39"/>
        <item x="27"/>
        <item x="22"/>
        <item x="11"/>
        <item x="8"/>
        <item x="71"/>
        <item x="68"/>
        <item x="208"/>
        <item x="205"/>
        <item x="200"/>
        <item x="198"/>
        <item x="192"/>
        <item x="108"/>
        <item x="79"/>
        <item x="158"/>
        <item x="154"/>
        <item x="149"/>
        <item x="148"/>
        <item x="153"/>
        <item x="73"/>
        <item x="52"/>
        <item x="66"/>
        <item x="157"/>
        <item x="115"/>
        <item x="106"/>
        <item x="70"/>
        <item x="65"/>
        <item x="156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axis="axisRow" compact="0" showAll="0">
      <items count="12">
        <item sd="0" x="8"/>
        <item sd="0" x="3"/>
        <item sd="0" x="0"/>
        <item sd="0" x="2"/>
        <item sd="0" x="7"/>
        <item sd="0" x="4"/>
        <item sd="0" x="10"/>
        <item sd="0" x="5"/>
        <item sd="0" x="9"/>
        <item sd="0" x="6"/>
        <item sd="0" x="1"/>
        <item t="default"/>
      </items>
    </pivotField>
    <pivotField axis="axisRow" compact="0" showAll="0">
      <items count="12">
        <item x="1"/>
        <item x="4"/>
        <item x="5"/>
        <item x="0"/>
        <item x="2"/>
        <item x="8"/>
        <item x="9"/>
        <item x="3"/>
        <item x="6"/>
        <item x="10"/>
        <item x="7"/>
        <item t="default"/>
      </items>
    </pivotField>
    <pivotField compact="0" showAll="0">
      <items count="297">
        <item x="90"/>
        <item x="220"/>
        <item x="124"/>
        <item x="222"/>
        <item x="74"/>
        <item x="73"/>
        <item x="259"/>
        <item x="116"/>
        <item x="241"/>
        <item x="184"/>
        <item x="23"/>
        <item x="79"/>
        <item x="199"/>
        <item x="65"/>
        <item x="146"/>
        <item x="81"/>
        <item x="154"/>
        <item x="98"/>
        <item x="193"/>
        <item x="97"/>
        <item x="55"/>
        <item x="215"/>
        <item x="230"/>
        <item x="85"/>
        <item x="158"/>
        <item x="136"/>
        <item x="186"/>
        <item x="192"/>
        <item x="260"/>
        <item x="45"/>
        <item x="176"/>
        <item x="63"/>
        <item x="148"/>
        <item x="277"/>
        <item x="249"/>
        <item x="185"/>
        <item x="283"/>
        <item x="258"/>
        <item x="105"/>
        <item x="279"/>
        <item x="134"/>
        <item x="37"/>
        <item x="227"/>
        <item x="49"/>
        <item x="210"/>
        <item x="178"/>
        <item x="3"/>
        <item x="19"/>
        <item x="250"/>
        <item x="10"/>
        <item x="61"/>
        <item x="2"/>
        <item x="31"/>
        <item x="292"/>
        <item x="48"/>
        <item x="205"/>
        <item x="252"/>
        <item x="206"/>
        <item x="236"/>
        <item x="82"/>
        <item x="130"/>
        <item x="118"/>
        <item x="280"/>
        <item x="145"/>
        <item x="32"/>
        <item x="189"/>
        <item x="200"/>
        <item x="67"/>
        <item x="56"/>
        <item x="268"/>
        <item x="173"/>
        <item x="181"/>
        <item x="103"/>
        <item x="269"/>
        <item x="273"/>
        <item x="278"/>
        <item x="104"/>
        <item x="177"/>
        <item x="168"/>
        <item x="246"/>
        <item x="110"/>
        <item x="160"/>
        <item x="144"/>
        <item x="211"/>
        <item x="15"/>
        <item x="194"/>
        <item x="152"/>
        <item x="9"/>
        <item x="14"/>
        <item x="163"/>
        <item x="247"/>
        <item x="95"/>
        <item x="22"/>
        <item x="84"/>
        <item x="291"/>
        <item x="42"/>
        <item x="88"/>
        <item x="271"/>
        <item x="171"/>
        <item x="195"/>
        <item x="282"/>
        <item x="164"/>
        <item x="11"/>
        <item x="216"/>
        <item x="190"/>
        <item x="198"/>
        <item x="72"/>
        <item x="170"/>
        <item x="219"/>
        <item x="34"/>
        <item x="262"/>
        <item x="80"/>
        <item x="33"/>
        <item x="128"/>
        <item x="76"/>
        <item x="217"/>
        <item x="125"/>
        <item x="132"/>
        <item x="108"/>
        <item x="13"/>
        <item x="5"/>
        <item x="100"/>
        <item x="172"/>
        <item x="68"/>
        <item x="86"/>
        <item x="264"/>
        <item x="46"/>
        <item x="30"/>
        <item x="284"/>
        <item x="242"/>
        <item x="256"/>
        <item x="153"/>
        <item x="36"/>
        <item x="8"/>
        <item x="187"/>
        <item x="0"/>
        <item x="99"/>
        <item x="39"/>
        <item x="235"/>
        <item x="234"/>
        <item x="238"/>
        <item x="151"/>
        <item x="78"/>
        <item x="140"/>
        <item x="133"/>
        <item x="62"/>
        <item x="115"/>
        <item x="255"/>
        <item x="24"/>
        <item x="175"/>
        <item x="214"/>
        <item x="143"/>
        <item x="267"/>
        <item x="276"/>
        <item x="20"/>
        <item x="162"/>
        <item x="275"/>
        <item x="53"/>
        <item x="232"/>
        <item x="101"/>
        <item x="265"/>
        <item x="43"/>
        <item x="70"/>
        <item x="188"/>
        <item x="47"/>
        <item x="106"/>
        <item x="251"/>
        <item x="165"/>
        <item x="102"/>
        <item x="91"/>
        <item x="218"/>
        <item x="137"/>
        <item x="16"/>
        <item x="119"/>
        <item x="59"/>
        <item x="191"/>
        <item x="208"/>
        <item x="226"/>
        <item x="207"/>
        <item x="114"/>
        <item x="248"/>
        <item x="112"/>
        <item x="131"/>
        <item x="123"/>
        <item x="139"/>
        <item x="127"/>
        <item x="240"/>
        <item x="225"/>
        <item x="149"/>
        <item x="121"/>
        <item x="166"/>
        <item x="281"/>
        <item x="44"/>
        <item x="41"/>
        <item x="197"/>
        <item x="93"/>
        <item x="209"/>
        <item x="66"/>
        <item x="179"/>
        <item x="71"/>
        <item x="270"/>
        <item x="25"/>
        <item x="113"/>
        <item x="58"/>
        <item x="155"/>
        <item x="161"/>
        <item x="213"/>
        <item x="17"/>
        <item x="159"/>
        <item x="239"/>
        <item x="129"/>
        <item x="180"/>
        <item x="290"/>
        <item x="107"/>
        <item x="169"/>
        <item x="40"/>
        <item x="21"/>
        <item x="89"/>
        <item x="212"/>
        <item x="245"/>
        <item x="221"/>
        <item x="257"/>
        <item x="51"/>
        <item x="272"/>
        <item x="38"/>
        <item x="150"/>
        <item x="203"/>
        <item x="77"/>
        <item x="135"/>
        <item x="35"/>
        <item x="224"/>
        <item x="182"/>
        <item x="7"/>
        <item x="64"/>
        <item x="109"/>
        <item x="204"/>
        <item x="147"/>
        <item x="294"/>
        <item x="261"/>
        <item x="274"/>
        <item x="183"/>
        <item x="69"/>
        <item x="94"/>
        <item x="83"/>
        <item x="293"/>
        <item x="244"/>
        <item x="122"/>
        <item x="243"/>
        <item x="157"/>
        <item x="202"/>
        <item x="27"/>
        <item x="75"/>
        <item x="263"/>
        <item x="231"/>
        <item x="1"/>
        <item x="54"/>
        <item x="196"/>
        <item x="26"/>
        <item x="288"/>
        <item x="141"/>
        <item x="286"/>
        <item x="228"/>
        <item x="138"/>
        <item x="92"/>
        <item x="174"/>
        <item x="120"/>
        <item x="229"/>
        <item x="60"/>
        <item x="167"/>
        <item x="96"/>
        <item x="6"/>
        <item x="117"/>
        <item x="18"/>
        <item x="28"/>
        <item x="52"/>
        <item x="142"/>
        <item x="4"/>
        <item x="254"/>
        <item x="156"/>
        <item x="287"/>
        <item x="50"/>
        <item x="253"/>
        <item x="223"/>
        <item x="126"/>
        <item x="285"/>
        <item x="266"/>
        <item x="87"/>
        <item x="295"/>
        <item x="237"/>
        <item x="12"/>
        <item x="111"/>
        <item x="289"/>
        <item x="233"/>
        <item x="201"/>
        <item x="29"/>
        <item x="57"/>
        <item t="default"/>
      </items>
    </pivotField>
    <pivotField compact="0" showAll="0">
      <items count="272">
        <item x="93"/>
        <item x="195"/>
        <item x="137"/>
        <item x="15"/>
        <item x="28"/>
        <item x="188"/>
        <item x="8"/>
        <item x="223"/>
        <item x="71"/>
        <item x="90"/>
        <item x="196"/>
        <item x="78"/>
        <item x="80"/>
        <item x="81"/>
        <item x="25"/>
        <item x="254"/>
        <item x="168"/>
        <item x="107"/>
        <item x="218"/>
        <item x="16"/>
        <item x="86"/>
        <item x="173"/>
        <item x="128"/>
        <item x="169"/>
        <item x="123"/>
        <item x="20"/>
        <item x="152"/>
        <item x="59"/>
        <item x="178"/>
        <item x="241"/>
        <item x="259"/>
        <item x="82"/>
        <item x="22"/>
        <item x="154"/>
        <item x="1"/>
        <item x="68"/>
        <item x="65"/>
        <item x="131"/>
        <item x="208"/>
        <item x="134"/>
        <item x="214"/>
        <item x="46"/>
        <item x="170"/>
        <item x="145"/>
        <item x="219"/>
        <item x="143"/>
        <item x="182"/>
        <item x="39"/>
        <item x="57"/>
        <item x="242"/>
        <item x="200"/>
        <item x="30"/>
        <item x="2"/>
        <item x="32"/>
        <item x="50"/>
        <item x="98"/>
        <item x="239"/>
        <item x="119"/>
        <item x="235"/>
        <item x="193"/>
        <item x="191"/>
        <item x="41"/>
        <item x="105"/>
        <item x="5"/>
        <item x="163"/>
        <item x="61"/>
        <item x="24"/>
        <item x="203"/>
        <item x="160"/>
        <item x="136"/>
        <item x="40"/>
        <item x="74"/>
        <item x="6"/>
        <item x="232"/>
        <item x="264"/>
        <item x="4"/>
        <item x="246"/>
        <item x="31"/>
        <item x="237"/>
        <item x="55"/>
        <item x="3"/>
        <item x="115"/>
        <item x="233"/>
        <item x="47"/>
        <item x="72"/>
        <item x="192"/>
        <item x="199"/>
        <item x="91"/>
        <item x="161"/>
        <item x="146"/>
        <item x="142"/>
        <item x="121"/>
        <item x="234"/>
        <item x="207"/>
        <item x="51"/>
        <item x="147"/>
        <item x="95"/>
        <item x="181"/>
        <item x="62"/>
        <item x="269"/>
        <item x="127"/>
        <item x="37"/>
        <item x="100"/>
        <item x="101"/>
        <item x="238"/>
        <item x="12"/>
        <item x="99"/>
        <item x="53"/>
        <item x="204"/>
        <item x="247"/>
        <item x="164"/>
        <item x="69"/>
        <item x="56"/>
        <item x="10"/>
        <item x="186"/>
        <item x="111"/>
        <item x="38"/>
        <item x="144"/>
        <item x="256"/>
        <item x="88"/>
        <item x="94"/>
        <item x="19"/>
        <item x="108"/>
        <item x="231"/>
        <item x="244"/>
        <item x="216"/>
        <item x="224"/>
        <item x="66"/>
        <item x="92"/>
        <item x="194"/>
        <item x="266"/>
        <item x="209"/>
        <item x="129"/>
        <item x="122"/>
        <item x="126"/>
        <item x="221"/>
        <item x="9"/>
        <item x="110"/>
        <item x="104"/>
        <item x="197"/>
        <item x="215"/>
        <item x="140"/>
        <item x="106"/>
        <item x="125"/>
        <item x="18"/>
        <item x="162"/>
        <item x="158"/>
        <item x="227"/>
        <item x="187"/>
        <item x="135"/>
        <item x="270"/>
        <item x="171"/>
        <item x="252"/>
        <item x="17"/>
        <item x="225"/>
        <item x="83"/>
        <item x="87"/>
        <item x="34"/>
        <item x="148"/>
        <item x="7"/>
        <item x="60"/>
        <item x="139"/>
        <item x="249"/>
        <item x="267"/>
        <item x="175"/>
        <item x="165"/>
        <item x="85"/>
        <item x="23"/>
        <item x="211"/>
        <item x="184"/>
        <item x="112"/>
        <item x="36"/>
        <item x="13"/>
        <item x="251"/>
        <item x="228"/>
        <item x="261"/>
        <item x="117"/>
        <item x="141"/>
        <item x="174"/>
        <item x="130"/>
        <item x="260"/>
        <item x="48"/>
        <item x="172"/>
        <item x="79"/>
        <item x="245"/>
        <item x="240"/>
        <item x="230"/>
        <item x="113"/>
        <item x="138"/>
        <item x="176"/>
        <item x="29"/>
        <item x="42"/>
        <item x="198"/>
        <item x="229"/>
        <item x="0"/>
        <item x="212"/>
        <item x="243"/>
        <item x="250"/>
        <item x="268"/>
        <item x="180"/>
        <item x="201"/>
        <item x="67"/>
        <item x="43"/>
        <item x="75"/>
        <item x="217"/>
        <item x="265"/>
        <item x="63"/>
        <item x="263"/>
        <item x="257"/>
        <item x="183"/>
        <item x="255"/>
        <item x="44"/>
        <item x="124"/>
        <item x="248"/>
        <item x="166"/>
        <item x="52"/>
        <item x="77"/>
        <item x="189"/>
        <item x="70"/>
        <item x="253"/>
        <item x="58"/>
        <item x="133"/>
        <item x="213"/>
        <item x="155"/>
        <item x="114"/>
        <item x="159"/>
        <item x="205"/>
        <item x="150"/>
        <item x="210"/>
        <item x="132"/>
        <item x="151"/>
        <item x="73"/>
        <item x="45"/>
        <item x="258"/>
        <item x="89"/>
        <item x="179"/>
        <item x="103"/>
        <item x="35"/>
        <item x="120"/>
        <item x="149"/>
        <item x="262"/>
        <item x="11"/>
        <item x="21"/>
        <item x="202"/>
        <item x="190"/>
        <item x="84"/>
        <item x="76"/>
        <item x="26"/>
        <item x="109"/>
        <item x="33"/>
        <item x="220"/>
        <item x="206"/>
        <item x="185"/>
        <item x="167"/>
        <item x="54"/>
        <item x="222"/>
        <item x="226"/>
        <item x="97"/>
        <item x="102"/>
        <item x="236"/>
        <item x="177"/>
        <item x="64"/>
        <item x="116"/>
        <item x="156"/>
        <item x="49"/>
        <item x="96"/>
        <item x="157"/>
        <item x="14"/>
        <item x="118"/>
        <item x="27"/>
        <item x="153"/>
        <item t="default"/>
      </items>
    </pivotField>
    <pivotField compact="0" showAll="0">
      <items count="247">
        <item x="103"/>
        <item x="73"/>
        <item x="3"/>
        <item x="192"/>
        <item x="9"/>
        <item x="113"/>
        <item x="27"/>
        <item x="105"/>
        <item x="74"/>
        <item x="26"/>
        <item x="81"/>
        <item x="28"/>
        <item x="12"/>
        <item x="118"/>
        <item x="119"/>
        <item x="62"/>
        <item x="30"/>
        <item x="106"/>
        <item x="57"/>
        <item x="36"/>
        <item x="241"/>
        <item x="229"/>
        <item x="99"/>
        <item x="63"/>
        <item x="114"/>
        <item x="16"/>
        <item x="128"/>
        <item x="20"/>
        <item x="70"/>
        <item x="100"/>
        <item x="76"/>
        <item x="183"/>
        <item x="24"/>
        <item x="221"/>
        <item x="151"/>
        <item x="184"/>
        <item x="162"/>
        <item x="104"/>
        <item x="158"/>
        <item x="50"/>
        <item x="96"/>
        <item x="207"/>
        <item x="140"/>
        <item x="39"/>
        <item x="208"/>
        <item x="102"/>
        <item x="193"/>
        <item x="53"/>
        <item x="84"/>
        <item x="202"/>
        <item x="19"/>
        <item x="201"/>
        <item x="69"/>
        <item x="204"/>
        <item x="88"/>
        <item x="238"/>
        <item x="40"/>
        <item x="0"/>
        <item x="31"/>
        <item x="126"/>
        <item x="216"/>
        <item x="77"/>
        <item x="66"/>
        <item x="22"/>
        <item x="172"/>
        <item x="131"/>
        <item x="47"/>
        <item x="177"/>
        <item x="228"/>
        <item x="186"/>
        <item x="123"/>
        <item x="79"/>
        <item x="170"/>
        <item x="94"/>
        <item x="32"/>
        <item x="174"/>
        <item x="210"/>
        <item x="182"/>
        <item x="14"/>
        <item x="167"/>
        <item x="232"/>
        <item x="55"/>
        <item x="133"/>
        <item x="157"/>
        <item x="34"/>
        <item x="144"/>
        <item x="65"/>
        <item x="189"/>
        <item x="56"/>
        <item x="2"/>
        <item x="145"/>
        <item x="92"/>
        <item x="159"/>
        <item x="98"/>
        <item x="8"/>
        <item x="85"/>
        <item x="225"/>
        <item x="244"/>
        <item x="168"/>
        <item x="143"/>
        <item x="196"/>
        <item x="95"/>
        <item x="169"/>
        <item x="166"/>
        <item x="200"/>
        <item x="43"/>
        <item x="129"/>
        <item x="125"/>
        <item x="214"/>
        <item x="239"/>
        <item x="161"/>
        <item x="171"/>
        <item x="148"/>
        <item x="165"/>
        <item x="227"/>
        <item x="78"/>
        <item x="195"/>
        <item x="152"/>
        <item x="230"/>
        <item x="213"/>
        <item x="58"/>
        <item x="187"/>
        <item x="181"/>
        <item x="109"/>
        <item x="191"/>
        <item x="163"/>
        <item x="155"/>
        <item x="18"/>
        <item x="146"/>
        <item x="212"/>
        <item x="38"/>
        <item x="245"/>
        <item x="82"/>
        <item x="236"/>
        <item x="49"/>
        <item x="223"/>
        <item x="178"/>
        <item x="17"/>
        <item x="41"/>
        <item x="240"/>
        <item x="234"/>
        <item x="110"/>
        <item x="46"/>
        <item x="130"/>
        <item x="5"/>
        <item x="23"/>
        <item x="37"/>
        <item x="124"/>
        <item x="44"/>
        <item x="72"/>
        <item x="197"/>
        <item x="121"/>
        <item x="222"/>
        <item x="83"/>
        <item x="15"/>
        <item x="209"/>
        <item x="199"/>
        <item x="80"/>
        <item x="233"/>
        <item x="90"/>
        <item x="188"/>
        <item x="52"/>
        <item x="198"/>
        <item x="138"/>
        <item x="7"/>
        <item x="136"/>
        <item x="111"/>
        <item x="132"/>
        <item x="190"/>
        <item x="164"/>
        <item x="97"/>
        <item x="135"/>
        <item x="153"/>
        <item x="1"/>
        <item x="217"/>
        <item x="180"/>
        <item x="42"/>
        <item x="13"/>
        <item x="211"/>
        <item x="29"/>
        <item x="93"/>
        <item x="206"/>
        <item x="61"/>
        <item x="224"/>
        <item x="205"/>
        <item x="91"/>
        <item x="33"/>
        <item x="75"/>
        <item x="89"/>
        <item x="235"/>
        <item x="134"/>
        <item x="242"/>
        <item x="60"/>
        <item x="156"/>
        <item x="160"/>
        <item x="71"/>
        <item x="237"/>
        <item x="220"/>
        <item x="116"/>
        <item x="108"/>
        <item x="142"/>
        <item x="175"/>
        <item x="215"/>
        <item x="154"/>
        <item x="147"/>
        <item x="139"/>
        <item x="35"/>
        <item x="194"/>
        <item x="117"/>
        <item x="64"/>
        <item x="87"/>
        <item x="48"/>
        <item x="67"/>
        <item x="173"/>
        <item x="21"/>
        <item x="51"/>
        <item x="112"/>
        <item x="59"/>
        <item x="185"/>
        <item x="54"/>
        <item x="137"/>
        <item x="120"/>
        <item x="122"/>
        <item x="243"/>
        <item x="231"/>
        <item x="86"/>
        <item x="101"/>
        <item x="226"/>
        <item x="115"/>
        <item x="25"/>
        <item x="149"/>
        <item x="68"/>
        <item x="203"/>
        <item x="179"/>
        <item x="4"/>
        <item x="11"/>
        <item x="150"/>
        <item x="10"/>
        <item x="176"/>
        <item x="6"/>
        <item x="127"/>
        <item x="218"/>
        <item x="219"/>
        <item x="141"/>
        <item x="45"/>
        <item x="107"/>
        <item t="default"/>
      </items>
    </pivotField>
    <pivotField dataField="1" compact="0" showAll="0">
      <items count="282">
        <item x="166"/>
        <item x="121"/>
        <item x="254"/>
        <item x="6"/>
        <item x="272"/>
        <item x="98"/>
        <item x="32"/>
        <item x="262"/>
        <item x="197"/>
        <item x="251"/>
        <item x="159"/>
        <item x="185"/>
        <item x="155"/>
        <item x="134"/>
        <item x="204"/>
        <item x="156"/>
        <item x="88"/>
        <item x="190"/>
        <item x="65"/>
        <item x="129"/>
        <item x="182"/>
        <item x="118"/>
        <item x="169"/>
        <item x="133"/>
        <item x="196"/>
        <item x="19"/>
        <item x="0"/>
        <item x="47"/>
        <item x="106"/>
        <item x="102"/>
        <item x="149"/>
        <item x="230"/>
        <item x="193"/>
        <item x="223"/>
        <item x="92"/>
        <item x="66"/>
        <item x="40"/>
        <item x="70"/>
        <item x="217"/>
        <item x="200"/>
        <item x="83"/>
        <item x="126"/>
        <item x="56"/>
        <item x="153"/>
        <item x="97"/>
        <item x="38"/>
        <item x="42"/>
        <item x="131"/>
        <item x="5"/>
        <item x="16"/>
        <item x="124"/>
        <item x="82"/>
        <item x="229"/>
        <item x="210"/>
        <item x="216"/>
        <item x="103"/>
        <item x="141"/>
        <item x="60"/>
        <item x="246"/>
        <item x="25"/>
        <item x="201"/>
        <item x="30"/>
        <item x="50"/>
        <item x="228"/>
        <item x="175"/>
        <item x="269"/>
        <item x="191"/>
        <item x="76"/>
        <item x="146"/>
        <item x="104"/>
        <item x="36"/>
        <item x="112"/>
        <item x="1"/>
        <item x="219"/>
        <item x="109"/>
        <item x="39"/>
        <item x="2"/>
        <item x="172"/>
        <item x="140"/>
        <item x="186"/>
        <item x="14"/>
        <item x="265"/>
        <item x="113"/>
        <item x="99"/>
        <item x="278"/>
        <item x="183"/>
        <item x="240"/>
        <item x="242"/>
        <item x="10"/>
        <item x="123"/>
        <item x="59"/>
        <item x="252"/>
        <item x="122"/>
        <item x="7"/>
        <item x="154"/>
        <item x="125"/>
        <item x="127"/>
        <item x="91"/>
        <item x="271"/>
        <item x="52"/>
        <item x="9"/>
        <item x="245"/>
        <item x="171"/>
        <item x="276"/>
        <item x="79"/>
        <item x="86"/>
        <item x="222"/>
        <item x="120"/>
        <item x="279"/>
        <item x="256"/>
        <item x="232"/>
        <item x="20"/>
        <item x="27"/>
        <item x="35"/>
        <item x="206"/>
        <item x="207"/>
        <item x="273"/>
        <item x="12"/>
        <item x="227"/>
        <item x="58"/>
        <item x="101"/>
        <item x="234"/>
        <item x="199"/>
        <item x="259"/>
        <item x="130"/>
        <item x="173"/>
        <item x="181"/>
        <item x="43"/>
        <item x="261"/>
        <item x="67"/>
        <item x="74"/>
        <item x="18"/>
        <item x="93"/>
        <item x="23"/>
        <item x="28"/>
        <item x="277"/>
        <item x="29"/>
        <item x="213"/>
        <item x="15"/>
        <item x="115"/>
        <item x="72"/>
        <item x="179"/>
        <item x="128"/>
        <item x="139"/>
        <item x="238"/>
        <item x="137"/>
        <item x="116"/>
        <item x="152"/>
        <item x="174"/>
        <item x="135"/>
        <item x="194"/>
        <item x="198"/>
        <item x="34"/>
        <item x="90"/>
        <item x="202"/>
        <item x="81"/>
        <item x="192"/>
        <item x="248"/>
        <item x="184"/>
        <item x="26"/>
        <item x="142"/>
        <item x="266"/>
        <item x="247"/>
        <item x="48"/>
        <item x="45"/>
        <item x="218"/>
        <item x="117"/>
        <item x="255"/>
        <item x="189"/>
        <item x="54"/>
        <item x="180"/>
        <item x="187"/>
        <item x="235"/>
        <item x="63"/>
        <item x="231"/>
        <item x="250"/>
        <item x="44"/>
        <item x="176"/>
        <item x="208"/>
        <item x="71"/>
        <item x="157"/>
        <item x="257"/>
        <item x="21"/>
        <item x="77"/>
        <item x="138"/>
        <item x="68"/>
        <item x="100"/>
        <item x="89"/>
        <item x="211"/>
        <item x="164"/>
        <item x="148"/>
        <item x="239"/>
        <item x="258"/>
        <item x="243"/>
        <item x="212"/>
        <item x="136"/>
        <item x="17"/>
        <item x="178"/>
        <item x="151"/>
        <item x="145"/>
        <item x="111"/>
        <item x="163"/>
        <item x="170"/>
        <item x="221"/>
        <item x="249"/>
        <item x="87"/>
        <item x="244"/>
        <item x="94"/>
        <item x="46"/>
        <item x="147"/>
        <item x="105"/>
        <item x="150"/>
        <item x="158"/>
        <item x="264"/>
        <item x="267"/>
        <item x="49"/>
        <item x="195"/>
        <item x="226"/>
        <item x="167"/>
        <item x="62"/>
        <item x="144"/>
        <item x="188"/>
        <item x="41"/>
        <item x="84"/>
        <item x="22"/>
        <item x="168"/>
        <item x="270"/>
        <item x="53"/>
        <item x="119"/>
        <item x="96"/>
        <item x="95"/>
        <item x="209"/>
        <item x="161"/>
        <item x="114"/>
        <item x="61"/>
        <item x="78"/>
        <item x="260"/>
        <item x="13"/>
        <item x="160"/>
        <item x="225"/>
        <item x="215"/>
        <item x="236"/>
        <item x="4"/>
        <item x="143"/>
        <item x="241"/>
        <item x="165"/>
        <item x="108"/>
        <item x="253"/>
        <item x="3"/>
        <item x="110"/>
        <item x="280"/>
        <item x="24"/>
        <item x="107"/>
        <item x="220"/>
        <item x="85"/>
        <item x="51"/>
        <item x="55"/>
        <item x="37"/>
        <item x="275"/>
        <item x="132"/>
        <item x="203"/>
        <item x="224"/>
        <item x="263"/>
        <item x="8"/>
        <item x="31"/>
        <item x="75"/>
        <item x="64"/>
        <item x="233"/>
        <item x="214"/>
        <item x="268"/>
        <item x="274"/>
        <item x="33"/>
        <item x="237"/>
        <item x="205"/>
        <item x="11"/>
        <item x="80"/>
        <item x="57"/>
        <item x="69"/>
        <item x="73"/>
        <item x="177"/>
        <item x="162"/>
        <item t="default"/>
      </items>
    </pivotField>
    <pivotField compact="0" showAll="0">
      <items count="299">
        <item x="40"/>
        <item x="164"/>
        <item x="249"/>
        <item x="45"/>
        <item x="116"/>
        <item x="212"/>
        <item x="215"/>
        <item x="151"/>
        <item x="36"/>
        <item x="74"/>
        <item x="175"/>
        <item x="122"/>
        <item x="31"/>
        <item x="50"/>
        <item x="160"/>
        <item x="171"/>
        <item x="291"/>
        <item x="255"/>
        <item x="134"/>
        <item x="273"/>
        <item x="206"/>
        <item x="157"/>
        <item x="270"/>
        <item x="12"/>
        <item x="294"/>
        <item x="29"/>
        <item x="136"/>
        <item x="166"/>
        <item x="239"/>
        <item x="99"/>
        <item x="91"/>
        <item x="238"/>
        <item x="63"/>
        <item x="208"/>
        <item x="274"/>
        <item x="158"/>
        <item x="6"/>
        <item x="24"/>
        <item x="58"/>
        <item x="103"/>
        <item x="190"/>
        <item x="276"/>
        <item x="118"/>
        <item x="94"/>
        <item x="17"/>
        <item x="51"/>
        <item x="80"/>
        <item x="182"/>
        <item x="115"/>
        <item x="62"/>
        <item x="193"/>
        <item x="42"/>
        <item x="225"/>
        <item x="147"/>
        <item x="85"/>
        <item x="233"/>
        <item x="117"/>
        <item x="61"/>
        <item x="88"/>
        <item x="174"/>
        <item x="73"/>
        <item x="13"/>
        <item x="196"/>
        <item x="18"/>
        <item x="180"/>
        <item x="48"/>
        <item x="133"/>
        <item x="185"/>
        <item x="167"/>
        <item x="256"/>
        <item x="11"/>
        <item x="25"/>
        <item x="34"/>
        <item x="217"/>
        <item x="82"/>
        <item x="199"/>
        <item x="72"/>
        <item x="142"/>
        <item x="129"/>
        <item x="27"/>
        <item x="265"/>
        <item x="104"/>
        <item x="283"/>
        <item x="5"/>
        <item x="246"/>
        <item x="252"/>
        <item x="219"/>
        <item x="49"/>
        <item x="96"/>
        <item x="251"/>
        <item x="65"/>
        <item x="231"/>
        <item x="23"/>
        <item x="192"/>
        <item x="19"/>
        <item x="3"/>
        <item x="92"/>
        <item x="37"/>
        <item x="278"/>
        <item x="144"/>
        <item x="152"/>
        <item x="102"/>
        <item x="108"/>
        <item x="57"/>
        <item x="261"/>
        <item x="26"/>
        <item x="127"/>
        <item x="264"/>
        <item x="53"/>
        <item x="257"/>
        <item x="123"/>
        <item x="271"/>
        <item x="228"/>
        <item x="130"/>
        <item x="111"/>
        <item x="234"/>
        <item x="226"/>
        <item x="78"/>
        <item x="138"/>
        <item x="237"/>
        <item x="275"/>
        <item x="43"/>
        <item x="68"/>
        <item x="149"/>
        <item x="296"/>
        <item x="165"/>
        <item x="8"/>
        <item x="244"/>
        <item x="286"/>
        <item x="1"/>
        <item x="15"/>
        <item x="33"/>
        <item x="287"/>
        <item x="279"/>
        <item x="162"/>
        <item x="245"/>
        <item x="202"/>
        <item x="266"/>
        <item x="55"/>
        <item x="67"/>
        <item x="140"/>
        <item x="84"/>
        <item x="83"/>
        <item x="240"/>
        <item x="47"/>
        <item x="71"/>
        <item x="141"/>
        <item x="184"/>
        <item x="169"/>
        <item x="44"/>
        <item x="216"/>
        <item x="30"/>
        <item x="163"/>
        <item x="205"/>
        <item x="154"/>
        <item x="292"/>
        <item x="254"/>
        <item x="110"/>
        <item x="243"/>
        <item x="70"/>
        <item x="179"/>
        <item x="222"/>
        <item x="253"/>
        <item x="269"/>
        <item x="16"/>
        <item x="148"/>
        <item x="60"/>
        <item x="189"/>
        <item x="135"/>
        <item x="241"/>
        <item x="87"/>
        <item x="93"/>
        <item x="210"/>
        <item x="56"/>
        <item x="260"/>
        <item x="126"/>
        <item x="247"/>
        <item x="52"/>
        <item x="150"/>
        <item x="263"/>
        <item x="7"/>
        <item x="64"/>
        <item x="173"/>
        <item x="285"/>
        <item x="250"/>
        <item x="198"/>
        <item x="227"/>
        <item x="107"/>
        <item x="106"/>
        <item x="22"/>
        <item x="20"/>
        <item x="281"/>
        <item x="293"/>
        <item x="125"/>
        <item x="284"/>
        <item x="201"/>
        <item x="137"/>
        <item x="121"/>
        <item x="280"/>
        <item x="155"/>
        <item x="38"/>
        <item x="223"/>
        <item x="21"/>
        <item x="213"/>
        <item x="262"/>
        <item x="41"/>
        <item x="236"/>
        <item x="89"/>
        <item x="282"/>
        <item x="177"/>
        <item x="178"/>
        <item x="46"/>
        <item x="268"/>
        <item x="181"/>
        <item x="172"/>
        <item x="229"/>
        <item x="235"/>
        <item x="209"/>
        <item x="124"/>
        <item x="101"/>
        <item x="204"/>
        <item x="114"/>
        <item x="139"/>
        <item x="59"/>
        <item x="230"/>
        <item x="153"/>
        <item x="207"/>
        <item x="218"/>
        <item x="288"/>
        <item x="77"/>
        <item x="128"/>
        <item x="195"/>
        <item x="105"/>
        <item x="221"/>
        <item x="272"/>
        <item x="76"/>
        <item x="203"/>
        <item x="232"/>
        <item x="259"/>
        <item x="197"/>
        <item x="97"/>
        <item x="10"/>
        <item x="224"/>
        <item x="4"/>
        <item x="14"/>
        <item x="81"/>
        <item x="132"/>
        <item x="112"/>
        <item x="109"/>
        <item x="200"/>
        <item x="66"/>
        <item x="161"/>
        <item x="120"/>
        <item x="194"/>
        <item x="2"/>
        <item x="32"/>
        <item x="75"/>
        <item x="211"/>
        <item x="98"/>
        <item x="95"/>
        <item x="267"/>
        <item x="113"/>
        <item x="143"/>
        <item x="0"/>
        <item x="69"/>
        <item x="277"/>
        <item x="220"/>
        <item x="131"/>
        <item x="9"/>
        <item x="290"/>
        <item x="86"/>
        <item x="186"/>
        <item x="54"/>
        <item x="146"/>
        <item x="183"/>
        <item x="297"/>
        <item x="156"/>
        <item x="119"/>
        <item x="176"/>
        <item x="145"/>
        <item x="295"/>
        <item x="258"/>
        <item x="214"/>
        <item x="187"/>
        <item x="188"/>
        <item x="28"/>
        <item x="170"/>
        <item x="35"/>
        <item x="191"/>
        <item x="90"/>
        <item x="242"/>
        <item x="79"/>
        <item x="159"/>
        <item x="39"/>
        <item x="289"/>
        <item x="168"/>
        <item x="248"/>
        <item x="100"/>
        <item t="default"/>
      </items>
    </pivotField>
    <pivotField compact="0" showAll="0">
      <items count="301">
        <item x="2"/>
        <item x="156"/>
        <item x="262"/>
        <item x="91"/>
        <item x="192"/>
        <item x="185"/>
        <item x="202"/>
        <item x="216"/>
        <item x="160"/>
        <item x="274"/>
        <item x="117"/>
        <item x="222"/>
        <item x="272"/>
        <item x="18"/>
        <item x="258"/>
        <item x="270"/>
        <item x="81"/>
        <item x="103"/>
        <item x="253"/>
        <item x="20"/>
        <item x="194"/>
        <item x="265"/>
        <item x="90"/>
        <item x="227"/>
        <item x="34"/>
        <item x="154"/>
        <item x="152"/>
        <item x="161"/>
        <item x="268"/>
        <item x="241"/>
        <item x="138"/>
        <item x="164"/>
        <item x="32"/>
        <item x="17"/>
        <item x="73"/>
        <item x="43"/>
        <item x="183"/>
        <item x="242"/>
        <item x="204"/>
        <item x="276"/>
        <item x="158"/>
        <item x="188"/>
        <item x="266"/>
        <item x="153"/>
        <item x="74"/>
        <item x="41"/>
        <item x="291"/>
        <item x="8"/>
        <item x="62"/>
        <item x="178"/>
        <item x="25"/>
        <item x="220"/>
        <item x="200"/>
        <item x="240"/>
        <item x="127"/>
        <item x="269"/>
        <item x="131"/>
        <item x="243"/>
        <item x="54"/>
        <item x="261"/>
        <item x="42"/>
        <item x="282"/>
        <item x="125"/>
        <item x="58"/>
        <item x="120"/>
        <item x="146"/>
        <item x="228"/>
        <item x="249"/>
        <item x="89"/>
        <item x="237"/>
        <item x="186"/>
        <item x="150"/>
        <item x="234"/>
        <item x="24"/>
        <item x="130"/>
        <item x="277"/>
        <item x="176"/>
        <item x="116"/>
        <item x="134"/>
        <item x="79"/>
        <item x="280"/>
        <item x="55"/>
        <item x="48"/>
        <item x="169"/>
        <item x="92"/>
        <item x="136"/>
        <item x="292"/>
        <item x="72"/>
        <item x="52"/>
        <item x="203"/>
        <item x="53"/>
        <item x="273"/>
        <item x="75"/>
        <item x="27"/>
        <item x="93"/>
        <item x="198"/>
        <item x="145"/>
        <item x="296"/>
        <item x="39"/>
        <item x="36"/>
        <item x="163"/>
        <item x="140"/>
        <item x="229"/>
        <item x="271"/>
        <item x="30"/>
        <item x="16"/>
        <item x="170"/>
        <item x="6"/>
        <item x="151"/>
        <item x="40"/>
        <item x="14"/>
        <item x="187"/>
        <item x="98"/>
        <item x="49"/>
        <item x="232"/>
        <item x="133"/>
        <item x="245"/>
        <item x="88"/>
        <item x="184"/>
        <item x="281"/>
        <item x="3"/>
        <item x="189"/>
        <item x="19"/>
        <item x="173"/>
        <item x="115"/>
        <item x="66"/>
        <item x="172"/>
        <item x="197"/>
        <item x="64"/>
        <item x="196"/>
        <item x="80"/>
        <item x="181"/>
        <item x="231"/>
        <item x="60"/>
        <item x="57"/>
        <item x="218"/>
        <item x="193"/>
        <item x="175"/>
        <item x="267"/>
        <item x="255"/>
        <item x="162"/>
        <item x="26"/>
        <item x="82"/>
        <item x="104"/>
        <item x="28"/>
        <item x="168"/>
        <item x="223"/>
        <item x="126"/>
        <item x="238"/>
        <item x="250"/>
        <item x="213"/>
        <item x="35"/>
        <item x="97"/>
        <item x="205"/>
        <item x="107"/>
        <item x="190"/>
        <item x="15"/>
        <item x="45"/>
        <item x="209"/>
        <item x="289"/>
        <item x="85"/>
        <item x="83"/>
        <item x="278"/>
        <item x="37"/>
        <item x="46"/>
        <item x="259"/>
        <item x="108"/>
        <item x="257"/>
        <item x="251"/>
        <item x="10"/>
        <item x="246"/>
        <item x="56"/>
        <item x="70"/>
        <item x="199"/>
        <item x="283"/>
        <item x="182"/>
        <item x="221"/>
        <item x="263"/>
        <item x="129"/>
        <item x="11"/>
        <item x="297"/>
        <item x="285"/>
        <item x="191"/>
        <item x="260"/>
        <item x="69"/>
        <item x="155"/>
        <item x="119"/>
        <item x="31"/>
        <item x="86"/>
        <item x="275"/>
        <item x="128"/>
        <item x="174"/>
        <item x="180"/>
        <item x="293"/>
        <item x="149"/>
        <item x="110"/>
        <item x="147"/>
        <item x="287"/>
        <item x="47"/>
        <item x="111"/>
        <item x="51"/>
        <item x="279"/>
        <item x="247"/>
        <item x="217"/>
        <item x="12"/>
        <item x="7"/>
        <item x="78"/>
        <item x="50"/>
        <item x="77"/>
        <item x="171"/>
        <item x="100"/>
        <item x="256"/>
        <item x="132"/>
        <item x="29"/>
        <item x="84"/>
        <item x="195"/>
        <item x="290"/>
        <item x="206"/>
        <item x="143"/>
        <item x="144"/>
        <item x="224"/>
        <item x="141"/>
        <item x="211"/>
        <item x="1"/>
        <item x="165"/>
        <item x="148"/>
        <item x="295"/>
        <item x="94"/>
        <item x="294"/>
        <item x="233"/>
        <item x="109"/>
        <item x="177"/>
        <item x="299"/>
        <item x="230"/>
        <item x="137"/>
        <item x="286"/>
        <item x="68"/>
        <item x="159"/>
        <item x="114"/>
        <item x="235"/>
        <item x="252"/>
        <item x="123"/>
        <item x="0"/>
        <item x="207"/>
        <item x="288"/>
        <item x="33"/>
        <item x="226"/>
        <item x="113"/>
        <item x="236"/>
        <item x="101"/>
        <item x="96"/>
        <item x="71"/>
        <item x="102"/>
        <item x="254"/>
        <item x="298"/>
        <item x="122"/>
        <item x="61"/>
        <item x="248"/>
        <item x="4"/>
        <item x="210"/>
        <item x="95"/>
        <item x="76"/>
        <item x="9"/>
        <item x="118"/>
        <item x="67"/>
        <item x="23"/>
        <item x="44"/>
        <item x="106"/>
        <item x="244"/>
        <item x="139"/>
        <item x="142"/>
        <item x="166"/>
        <item x="215"/>
        <item x="105"/>
        <item x="157"/>
        <item x="201"/>
        <item x="284"/>
        <item x="239"/>
        <item x="208"/>
        <item x="99"/>
        <item x="5"/>
        <item x="13"/>
        <item x="59"/>
        <item x="219"/>
        <item x="135"/>
        <item x="63"/>
        <item x="38"/>
        <item x="22"/>
        <item x="112"/>
        <item x="212"/>
        <item x="214"/>
        <item x="87"/>
        <item x="21"/>
        <item x="167"/>
        <item x="65"/>
        <item x="179"/>
        <item x="264"/>
        <item x="121"/>
        <item x="124"/>
        <item x="225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numFmtId="165" showAll="0">
      <items count="301">
        <item x="224"/>
        <item x="65"/>
        <item x="201"/>
        <item x="23"/>
        <item x="63"/>
        <item x="147"/>
        <item x="137"/>
        <item x="195"/>
        <item x="217"/>
        <item x="135"/>
        <item x="106"/>
        <item x="85"/>
        <item x="286"/>
        <item x="208"/>
        <item x="212"/>
        <item x="98"/>
        <item x="97"/>
        <item x="61"/>
        <item x="252"/>
        <item x="104"/>
        <item x="254"/>
        <item x="22"/>
        <item x="207"/>
        <item x="125"/>
        <item x="180"/>
        <item x="105"/>
        <item x="179"/>
        <item x="251"/>
        <item x="31"/>
        <item x="67"/>
        <item x="260"/>
        <item x="9"/>
        <item x="79"/>
        <item x="95"/>
        <item x="248"/>
        <item x="45"/>
        <item x="232"/>
        <item x="264"/>
        <item x="37"/>
        <item x="219"/>
        <item x="166"/>
        <item x="119"/>
        <item x="186"/>
        <item x="165"/>
        <item x="74"/>
        <item x="10"/>
        <item x="111"/>
        <item x="276"/>
        <item x="76"/>
        <item x="5"/>
        <item x="191"/>
        <item x="283"/>
        <item x="84"/>
        <item x="275"/>
        <item x="33"/>
        <item x="295"/>
        <item x="187"/>
        <item x="55"/>
        <item x="13"/>
        <item x="3"/>
        <item x="99"/>
        <item x="261"/>
        <item x="73"/>
        <item x="90"/>
        <item x="243"/>
        <item x="56"/>
        <item x="19"/>
        <item x="222"/>
        <item x="109"/>
        <item x="236"/>
        <item x="15"/>
        <item x="82"/>
        <item x="244"/>
        <item x="175"/>
        <item x="238"/>
        <item x="167"/>
        <item x="49"/>
        <item x="162"/>
        <item x="0"/>
        <item x="285"/>
        <item x="141"/>
        <item x="100"/>
        <item x="229"/>
        <item x="68"/>
        <item x="59"/>
        <item x="78"/>
        <item x="86"/>
        <item x="124"/>
        <item x="281"/>
        <item x="196"/>
        <item x="213"/>
        <item x="11"/>
        <item x="155"/>
        <item x="210"/>
        <item x="177"/>
        <item x="129"/>
        <item x="221"/>
        <item x="144"/>
        <item x="150"/>
        <item x="174"/>
        <item x="284"/>
        <item x="280"/>
        <item x="102"/>
        <item x="287"/>
        <item x="101"/>
        <item x="296"/>
        <item x="271"/>
        <item x="44"/>
        <item x="113"/>
        <item x="157"/>
        <item x="197"/>
        <item x="218"/>
        <item x="173"/>
        <item x="215"/>
        <item x="214"/>
        <item x="279"/>
        <item x="170"/>
        <item x="21"/>
        <item x="126"/>
        <item x="172"/>
        <item x="132"/>
        <item x="122"/>
        <item x="48"/>
        <item x="38"/>
        <item x="71"/>
        <item x="88"/>
        <item x="257"/>
        <item x="80"/>
        <item x="46"/>
        <item x="14"/>
        <item x="188"/>
        <item x="211"/>
        <item x="114"/>
        <item x="47"/>
        <item x="145"/>
        <item x="121"/>
        <item x="70"/>
        <item x="117"/>
        <item x="178"/>
        <item x="282"/>
        <item x="128"/>
        <item x="278"/>
        <item x="294"/>
        <item x="298"/>
        <item x="226"/>
        <item x="133"/>
        <item x="273"/>
        <item x="225"/>
        <item x="146"/>
        <item x="87"/>
        <item x="139"/>
        <item x="142"/>
        <item x="81"/>
        <item x="190"/>
        <item x="107"/>
        <item x="171"/>
        <item x="209"/>
        <item x="112"/>
        <item x="118"/>
        <item x="189"/>
        <item x="51"/>
        <item x="206"/>
        <item x="72"/>
        <item x="239"/>
        <item x="123"/>
        <item x="96"/>
        <item x="148"/>
        <item x="94"/>
        <item x="247"/>
        <item x="77"/>
        <item x="199"/>
        <item x="159"/>
        <item x="7"/>
        <item x="30"/>
        <item x="193"/>
        <item x="233"/>
        <item x="267"/>
        <item x="110"/>
        <item x="230"/>
        <item x="1"/>
        <item x="250"/>
        <item x="4"/>
        <item x="131"/>
        <item x="182"/>
        <item x="39"/>
        <item x="290"/>
        <item x="149"/>
        <item x="156"/>
        <item x="36"/>
        <item x="168"/>
        <item x="288"/>
        <item x="235"/>
        <item x="249"/>
        <item x="69"/>
        <item x="263"/>
        <item x="108"/>
        <item x="143"/>
        <item x="181"/>
        <item x="259"/>
        <item x="194"/>
        <item x="256"/>
        <item x="50"/>
        <item x="16"/>
        <item x="299"/>
        <item x="83"/>
        <item x="297"/>
        <item x="32"/>
        <item x="115"/>
        <item x="29"/>
        <item x="246"/>
        <item x="42"/>
        <item x="223"/>
        <item x="66"/>
        <item x="12"/>
        <item x="205"/>
        <item x="183"/>
        <item x="35"/>
        <item x="160"/>
        <item x="151"/>
        <item x="237"/>
        <item x="140"/>
        <item x="293"/>
        <item x="134"/>
        <item x="289"/>
        <item x="116"/>
        <item x="24"/>
        <item x="64"/>
        <item x="262"/>
        <item x="53"/>
        <item x="200"/>
        <item x="26"/>
        <item x="40"/>
        <item x="93"/>
        <item x="163"/>
        <item x="28"/>
        <item x="184"/>
        <item x="234"/>
        <item x="231"/>
        <item x="103"/>
        <item x="60"/>
        <item x="8"/>
        <item x="270"/>
        <item x="154"/>
        <item x="255"/>
        <item x="245"/>
        <item x="153"/>
        <item x="240"/>
        <item x="57"/>
        <item x="2"/>
        <item x="266"/>
        <item x="269"/>
        <item x="34"/>
        <item x="75"/>
        <item x="228"/>
        <item x="6"/>
        <item x="120"/>
        <item x="136"/>
        <item x="62"/>
        <item x="27"/>
        <item x="130"/>
        <item x="198"/>
        <item x="202"/>
        <item x="58"/>
        <item x="220"/>
        <item x="277"/>
        <item x="292"/>
        <item x="92"/>
        <item x="41"/>
        <item x="203"/>
        <item x="89"/>
        <item x="43"/>
        <item x="52"/>
        <item x="169"/>
        <item x="25"/>
        <item x="138"/>
        <item x="176"/>
        <item x="164"/>
        <item x="242"/>
        <item x="20"/>
        <item x="54"/>
        <item x="258"/>
        <item x="192"/>
        <item x="17"/>
        <item x="253"/>
        <item x="241"/>
        <item x="227"/>
        <item x="161"/>
        <item x="127"/>
        <item x="216"/>
        <item x="291"/>
        <item x="204"/>
        <item x="152"/>
        <item x="158"/>
        <item x="91"/>
        <item x="272"/>
        <item x="265"/>
        <item x="268"/>
        <item x="274"/>
        <item x="185"/>
        <item x="18"/>
        <item t="default"/>
      </items>
    </pivotField>
  </pivotFields>
  <rowFields count="2">
    <field x="4"/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licks" fld="9" subtotal="average" baseField="0" baseItem="0"/>
  </dataFields>
  <formats count="32">
    <format dxfId="0">
      <pivotArea collapsedLevelsAreSubtotals="1" fieldPosition="0">
        <references count="1">
          <reference field="4" count="1" selected="0">
            <x v="1"/>
          </reference>
        </references>
      </pivotArea>
    </format>
    <format dxfId="0">
      <pivotArea collapsedLevelsAreSubtotals="1" fieldPosition="0">
        <references count="1">
          <reference field="4" count="1" selected="0">
            <x v="2"/>
          </reference>
        </references>
      </pivotArea>
    </format>
    <format dxfId="0">
      <pivotArea collapsedLevelsAreSubtotals="1" fieldPosition="0">
        <references count="1">
          <reference field="4" count="1" selected="0">
            <x v="3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1">
      <pivotArea collapsedLevelsAreSubtotals="1" fieldPosition="0">
        <references count="1">
          <reference field="4" count="1" selected="0">
            <x v="2"/>
          </reference>
        </references>
      </pivotArea>
    </format>
    <format dxfId="1">
      <pivotArea collapsedLevelsAreSubtotals="1" fieldPosition="0">
        <references count="1">
          <reference field="4" count="1" selected="0">
            <x v="3"/>
          </reference>
        </references>
      </pivotArea>
    </format>
    <format dxfId="2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2">
      <pivotArea collapsedLevelsAreSubtotals="1" fieldPosition="0">
        <references count="1">
          <reference field="4" count="1" selected="0">
            <x v="3"/>
          </reference>
        </references>
      </pivotArea>
    </format>
    <format dxfId="3">
      <pivotArea collapsedLevelsAreSubtotals="1" fieldPosition="0">
        <references count="1">
          <reference field="4" count="1" selected="0">
            <x v="1"/>
          </reference>
        </references>
      </pivotArea>
    </format>
    <format dxfId="3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0">
      <pivotArea collapsedLevelsAreSubtotals="1" fieldPosition="0">
        <references count="1">
          <reference field="4" count="1" selected="0">
            <x v="5"/>
          </reference>
        </references>
      </pivotArea>
    </format>
    <format dxfId="1">
      <pivotArea collapsedLevelsAreSubtotals="1" fieldPosition="0">
        <references count="1">
          <reference field="4" count="1" selected="0">
            <x v="5"/>
          </reference>
        </references>
      </pivotArea>
    </format>
    <format dxfId="2">
      <pivotArea collapsedLevelsAreSubtotals="1" fieldPosition="0">
        <references count="1">
          <reference field="4" count="1" selected="0">
            <x v="5"/>
          </reference>
        </references>
      </pivotArea>
    </format>
    <format dxfId="3">
      <pivotArea collapsedLevelsAreSubtotals="1" fieldPosition="0">
        <references count="1">
          <reference field="4" count="1" selected="0">
            <x v="5"/>
          </reference>
        </references>
      </pivotArea>
    </format>
    <format dxfId="0">
      <pivotArea collapsedLevelsAreSubtotals="1" fieldPosition="0">
        <references count="1">
          <reference field="4" count="1" selected="0">
            <x v="7"/>
          </reference>
        </references>
      </pivotArea>
    </format>
    <format dxfId="0">
      <pivotArea collapsedLevelsAreSubtotals="1" fieldPosition="0">
        <references count="1">
          <reference field="4" count="1" selected="0">
            <x v="8"/>
          </reference>
        </references>
      </pivotArea>
    </format>
    <format dxfId="0">
      <pivotArea collapsedLevelsAreSubtotals="1" fieldPosition="0">
        <references count="1">
          <reference field="4" count="1" selected="0">
            <x v="9"/>
          </reference>
        </references>
      </pivotArea>
    </format>
    <format dxfId="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">
      <pivotArea collapsedLevelsAreSubtotals="1" fieldPosition="0">
        <references count="1">
          <reference field="4" count="1" selected="0">
            <x v="7"/>
          </reference>
        </references>
      </pivotArea>
    </format>
    <format dxfId="1">
      <pivotArea collapsedLevelsAreSubtotals="1" fieldPosition="0">
        <references count="1">
          <reference field="4" count="1" selected="0">
            <x v="8"/>
          </reference>
        </references>
      </pivotArea>
    </format>
    <format dxfId="1">
      <pivotArea collapsedLevelsAreSubtotals="1" fieldPosition="0">
        <references count="1">
          <reference field="4" count="1" selected="0">
            <x v="9"/>
          </reference>
        </references>
      </pivotArea>
    </format>
    <format dxfId="1">
      <pivotArea collapsedLevelsAreSubtotals="1" fieldPosition="0">
        <references count="1">
          <reference field="4" count="1" selected="0">
            <x v="10"/>
          </reference>
        </references>
      </pivotArea>
    </format>
    <format dxfId="2">
      <pivotArea collapsedLevelsAreSubtotals="1" fieldPosition="0">
        <references count="1">
          <reference field="4" count="1" selected="0">
            <x v="7"/>
          </reference>
        </references>
      </pivotArea>
    </format>
    <format dxfId="2">
      <pivotArea collapsedLevelsAreSubtotals="1" fieldPosition="0">
        <references count="1">
          <reference field="4" count="1" selected="0">
            <x v="8"/>
          </reference>
        </references>
      </pivotArea>
    </format>
    <format dxfId="2">
      <pivotArea collapsedLevelsAreSubtotals="1" fieldPosition="0">
        <references count="1">
          <reference field="4" count="1" selected="0">
            <x v="9"/>
          </reference>
        </references>
      </pivotArea>
    </format>
    <format dxfId="2">
      <pivotArea collapsedLevelsAreSubtotals="1" fieldPosition="0">
        <references count="1">
          <reference field="4" count="1" selected="0">
            <x v="10"/>
          </reference>
        </references>
      </pivotArea>
    </format>
    <format dxfId="3">
      <pivotArea collapsedLevelsAreSubtotals="1" fieldPosition="0">
        <references count="1">
          <reference field="4" count="1" selected="0">
            <x v="7"/>
          </reference>
        </references>
      </pivotArea>
    </format>
    <format dxfId="3">
      <pivotArea collapsedLevelsAreSubtotals="1" fieldPosition="0">
        <references count="1">
          <reference field="4" count="1" selected="0">
            <x v="8"/>
          </reference>
        </references>
      </pivotArea>
    </format>
    <format dxfId="3">
      <pivotArea collapsedLevelsAreSubtotals="1" fieldPosition="0">
        <references count="1">
          <reference field="4" count="1" selected="0">
            <x v="9"/>
          </reference>
        </references>
      </pivotArea>
    </format>
    <format dxfId="3">
      <pivotArea collapsedLevelsAreSubtotals="1" fieldPosition="0">
        <references count="1">
          <reference field="4" count="1" selected="0">
            <x v="10"/>
          </reference>
        </references>
      </pivotArea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24:B36" firstHeaderRow="1" firstDataRow="1" firstDataCol="1"/>
  <pivotFields count="14">
    <pivotField compact="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64" showAll="0">
      <items count="211">
        <item x="122"/>
        <item x="125"/>
        <item x="25"/>
        <item x="133"/>
        <item x="0"/>
        <item x="29"/>
        <item x="146"/>
        <item x="9"/>
        <item x="49"/>
        <item x="86"/>
        <item x="166"/>
        <item x="99"/>
        <item x="196"/>
        <item x="181"/>
        <item x="91"/>
        <item x="40"/>
        <item x="201"/>
        <item x="97"/>
        <item x="162"/>
        <item x="13"/>
        <item x="78"/>
        <item x="20"/>
        <item x="194"/>
        <item x="180"/>
        <item x="23"/>
        <item x="75"/>
        <item x="128"/>
        <item x="206"/>
        <item x="43"/>
        <item x="150"/>
        <item x="31"/>
        <item x="90"/>
        <item x="12"/>
        <item x="5"/>
        <item x="21"/>
        <item x="124"/>
        <item x="118"/>
        <item x="83"/>
        <item x="191"/>
        <item x="175"/>
        <item x="18"/>
        <item x="35"/>
        <item x="136"/>
        <item x="38"/>
        <item x="204"/>
        <item x="193"/>
        <item x="131"/>
        <item x="4"/>
        <item x="33"/>
        <item x="2"/>
        <item x="163"/>
        <item x="82"/>
        <item x="37"/>
        <item x="120"/>
        <item x="103"/>
        <item x="179"/>
        <item x="152"/>
        <item x="172"/>
        <item x="113"/>
        <item x="10"/>
        <item x="144"/>
        <item x="177"/>
        <item x="16"/>
        <item x="84"/>
        <item x="189"/>
        <item x="1"/>
        <item x="159"/>
        <item x="3"/>
        <item x="17"/>
        <item x="95"/>
        <item x="209"/>
        <item x="19"/>
        <item x="7"/>
        <item x="119"/>
        <item x="105"/>
        <item x="26"/>
        <item x="185"/>
        <item x="135"/>
        <item x="174"/>
        <item x="147"/>
        <item x="114"/>
        <item x="6"/>
        <item x="199"/>
        <item x="77"/>
        <item x="190"/>
        <item x="142"/>
        <item x="202"/>
        <item x="100"/>
        <item x="88"/>
        <item x="80"/>
        <item x="64"/>
        <item x="126"/>
        <item x="60"/>
        <item x="93"/>
        <item x="130"/>
        <item x="67"/>
        <item x="155"/>
        <item x="45"/>
        <item x="176"/>
        <item x="121"/>
        <item x="137"/>
        <item x="72"/>
        <item x="141"/>
        <item x="164"/>
        <item x="92"/>
        <item x="170"/>
        <item x="138"/>
        <item x="187"/>
        <item x="110"/>
        <item x="96"/>
        <item x="104"/>
        <item x="117"/>
        <item x="14"/>
        <item x="41"/>
        <item x="102"/>
        <item x="203"/>
        <item x="55"/>
        <item x="30"/>
        <item x="53"/>
        <item x="186"/>
        <item x="167"/>
        <item x="62"/>
        <item x="139"/>
        <item x="101"/>
        <item x="47"/>
        <item x="69"/>
        <item x="134"/>
        <item x="28"/>
        <item x="109"/>
        <item x="145"/>
        <item x="183"/>
        <item x="46"/>
        <item x="197"/>
        <item x="140"/>
        <item x="87"/>
        <item x="132"/>
        <item x="151"/>
        <item x="182"/>
        <item x="94"/>
        <item x="36"/>
        <item x="34"/>
        <item x="207"/>
        <item x="24"/>
        <item x="50"/>
        <item x="178"/>
        <item x="98"/>
        <item x="44"/>
        <item x="81"/>
        <item x="15"/>
        <item x="111"/>
        <item x="123"/>
        <item x="57"/>
        <item x="107"/>
        <item x="165"/>
        <item x="42"/>
        <item x="173"/>
        <item x="76"/>
        <item x="63"/>
        <item x="188"/>
        <item x="116"/>
        <item x="89"/>
        <item x="74"/>
        <item x="184"/>
        <item x="171"/>
        <item x="195"/>
        <item x="143"/>
        <item x="129"/>
        <item x="168"/>
        <item x="32"/>
        <item x="169"/>
        <item x="127"/>
        <item x="161"/>
        <item x="85"/>
        <item x="112"/>
        <item x="160"/>
        <item x="61"/>
        <item x="59"/>
        <item x="58"/>
        <item x="56"/>
        <item x="54"/>
        <item x="51"/>
        <item x="48"/>
        <item x="39"/>
        <item x="27"/>
        <item x="22"/>
        <item x="11"/>
        <item x="8"/>
        <item x="71"/>
        <item x="68"/>
        <item x="208"/>
        <item x="205"/>
        <item x="200"/>
        <item x="198"/>
        <item x="192"/>
        <item x="108"/>
        <item x="79"/>
        <item x="158"/>
        <item x="154"/>
        <item x="149"/>
        <item x="148"/>
        <item x="153"/>
        <item x="73"/>
        <item x="52"/>
        <item x="66"/>
        <item x="157"/>
        <item x="115"/>
        <item x="106"/>
        <item x="70"/>
        <item x="65"/>
        <item x="156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axis="axisRow" compact="0" showAll="0" sortType="descending">
      <items count="12">
        <item x="8"/>
        <item x="3"/>
        <item x="0"/>
        <item x="2"/>
        <item x="7"/>
        <item x="4"/>
        <item x="10"/>
        <item x="5"/>
        <item x="9"/>
        <item x="6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2">
        <item x="1"/>
        <item x="4"/>
        <item x="5"/>
        <item x="0"/>
        <item x="2"/>
        <item x="8"/>
        <item x="9"/>
        <item x="3"/>
        <item x="6"/>
        <item x="10"/>
        <item x="7"/>
        <item t="default"/>
      </items>
    </pivotField>
    <pivotField compact="0" showAll="0">
      <items count="297">
        <item x="90"/>
        <item x="220"/>
        <item x="124"/>
        <item x="222"/>
        <item x="74"/>
        <item x="73"/>
        <item x="259"/>
        <item x="116"/>
        <item x="241"/>
        <item x="184"/>
        <item x="23"/>
        <item x="79"/>
        <item x="199"/>
        <item x="65"/>
        <item x="146"/>
        <item x="81"/>
        <item x="154"/>
        <item x="98"/>
        <item x="193"/>
        <item x="97"/>
        <item x="55"/>
        <item x="215"/>
        <item x="230"/>
        <item x="85"/>
        <item x="158"/>
        <item x="136"/>
        <item x="186"/>
        <item x="192"/>
        <item x="260"/>
        <item x="45"/>
        <item x="176"/>
        <item x="63"/>
        <item x="148"/>
        <item x="277"/>
        <item x="249"/>
        <item x="185"/>
        <item x="283"/>
        <item x="258"/>
        <item x="105"/>
        <item x="279"/>
        <item x="134"/>
        <item x="37"/>
        <item x="227"/>
        <item x="49"/>
        <item x="210"/>
        <item x="178"/>
        <item x="3"/>
        <item x="19"/>
        <item x="250"/>
        <item x="10"/>
        <item x="61"/>
        <item x="2"/>
        <item x="31"/>
        <item x="292"/>
        <item x="48"/>
        <item x="205"/>
        <item x="252"/>
        <item x="206"/>
        <item x="236"/>
        <item x="82"/>
        <item x="130"/>
        <item x="118"/>
        <item x="280"/>
        <item x="145"/>
        <item x="32"/>
        <item x="189"/>
        <item x="200"/>
        <item x="67"/>
        <item x="56"/>
        <item x="268"/>
        <item x="173"/>
        <item x="181"/>
        <item x="103"/>
        <item x="269"/>
        <item x="273"/>
        <item x="278"/>
        <item x="104"/>
        <item x="177"/>
        <item x="168"/>
        <item x="246"/>
        <item x="110"/>
        <item x="160"/>
        <item x="144"/>
        <item x="211"/>
        <item x="15"/>
        <item x="194"/>
        <item x="152"/>
        <item x="9"/>
        <item x="14"/>
        <item x="163"/>
        <item x="247"/>
        <item x="95"/>
        <item x="22"/>
        <item x="84"/>
        <item x="291"/>
        <item x="42"/>
        <item x="88"/>
        <item x="271"/>
        <item x="171"/>
        <item x="195"/>
        <item x="282"/>
        <item x="164"/>
        <item x="11"/>
        <item x="216"/>
        <item x="190"/>
        <item x="198"/>
        <item x="72"/>
        <item x="170"/>
        <item x="219"/>
        <item x="34"/>
        <item x="262"/>
        <item x="80"/>
        <item x="33"/>
        <item x="128"/>
        <item x="76"/>
        <item x="217"/>
        <item x="125"/>
        <item x="132"/>
        <item x="108"/>
        <item x="13"/>
        <item x="5"/>
        <item x="100"/>
        <item x="172"/>
        <item x="68"/>
        <item x="86"/>
        <item x="264"/>
        <item x="46"/>
        <item x="30"/>
        <item x="284"/>
        <item x="242"/>
        <item x="256"/>
        <item x="153"/>
        <item x="36"/>
        <item x="8"/>
        <item x="187"/>
        <item x="0"/>
        <item x="99"/>
        <item x="39"/>
        <item x="235"/>
        <item x="234"/>
        <item x="238"/>
        <item x="151"/>
        <item x="78"/>
        <item x="140"/>
        <item x="133"/>
        <item x="62"/>
        <item x="115"/>
        <item x="255"/>
        <item x="24"/>
        <item x="175"/>
        <item x="214"/>
        <item x="143"/>
        <item x="267"/>
        <item x="276"/>
        <item x="20"/>
        <item x="162"/>
        <item x="275"/>
        <item x="53"/>
        <item x="232"/>
        <item x="101"/>
        <item x="265"/>
        <item x="43"/>
        <item x="70"/>
        <item x="188"/>
        <item x="47"/>
        <item x="106"/>
        <item x="251"/>
        <item x="165"/>
        <item x="102"/>
        <item x="91"/>
        <item x="218"/>
        <item x="137"/>
        <item x="16"/>
        <item x="119"/>
        <item x="59"/>
        <item x="191"/>
        <item x="208"/>
        <item x="226"/>
        <item x="207"/>
        <item x="114"/>
        <item x="248"/>
        <item x="112"/>
        <item x="131"/>
        <item x="123"/>
        <item x="139"/>
        <item x="127"/>
        <item x="240"/>
        <item x="225"/>
        <item x="149"/>
        <item x="121"/>
        <item x="166"/>
        <item x="281"/>
        <item x="44"/>
        <item x="41"/>
        <item x="197"/>
        <item x="93"/>
        <item x="209"/>
        <item x="66"/>
        <item x="179"/>
        <item x="71"/>
        <item x="270"/>
        <item x="25"/>
        <item x="113"/>
        <item x="58"/>
        <item x="155"/>
        <item x="161"/>
        <item x="213"/>
        <item x="17"/>
        <item x="159"/>
        <item x="239"/>
        <item x="129"/>
        <item x="180"/>
        <item x="290"/>
        <item x="107"/>
        <item x="169"/>
        <item x="40"/>
        <item x="21"/>
        <item x="89"/>
        <item x="212"/>
        <item x="245"/>
        <item x="221"/>
        <item x="257"/>
        <item x="51"/>
        <item x="272"/>
        <item x="38"/>
        <item x="150"/>
        <item x="203"/>
        <item x="77"/>
        <item x="135"/>
        <item x="35"/>
        <item x="224"/>
        <item x="182"/>
        <item x="7"/>
        <item x="64"/>
        <item x="109"/>
        <item x="204"/>
        <item x="147"/>
        <item x="294"/>
        <item x="261"/>
        <item x="274"/>
        <item x="183"/>
        <item x="69"/>
        <item x="94"/>
        <item x="83"/>
        <item x="293"/>
        <item x="244"/>
        <item x="122"/>
        <item x="243"/>
        <item x="157"/>
        <item x="202"/>
        <item x="27"/>
        <item x="75"/>
        <item x="263"/>
        <item x="231"/>
        <item x="1"/>
        <item x="54"/>
        <item x="196"/>
        <item x="26"/>
        <item x="288"/>
        <item x="141"/>
        <item x="286"/>
        <item x="228"/>
        <item x="138"/>
        <item x="92"/>
        <item x="174"/>
        <item x="120"/>
        <item x="229"/>
        <item x="60"/>
        <item x="167"/>
        <item x="96"/>
        <item x="6"/>
        <item x="117"/>
        <item x="18"/>
        <item x="28"/>
        <item x="52"/>
        <item x="142"/>
        <item x="4"/>
        <item x="254"/>
        <item x="156"/>
        <item x="287"/>
        <item x="50"/>
        <item x="253"/>
        <item x="223"/>
        <item x="126"/>
        <item x="285"/>
        <item x="266"/>
        <item x="87"/>
        <item x="295"/>
        <item x="237"/>
        <item x="12"/>
        <item x="111"/>
        <item x="289"/>
        <item x="233"/>
        <item x="201"/>
        <item x="29"/>
        <item x="57"/>
        <item t="default"/>
      </items>
    </pivotField>
    <pivotField compact="0" showAll="0">
      <items count="272">
        <item x="93"/>
        <item x="195"/>
        <item x="137"/>
        <item x="15"/>
        <item x="28"/>
        <item x="188"/>
        <item x="8"/>
        <item x="223"/>
        <item x="71"/>
        <item x="90"/>
        <item x="196"/>
        <item x="78"/>
        <item x="80"/>
        <item x="81"/>
        <item x="25"/>
        <item x="254"/>
        <item x="168"/>
        <item x="107"/>
        <item x="218"/>
        <item x="16"/>
        <item x="86"/>
        <item x="173"/>
        <item x="128"/>
        <item x="169"/>
        <item x="123"/>
        <item x="20"/>
        <item x="152"/>
        <item x="59"/>
        <item x="178"/>
        <item x="241"/>
        <item x="259"/>
        <item x="82"/>
        <item x="22"/>
        <item x="154"/>
        <item x="1"/>
        <item x="68"/>
        <item x="65"/>
        <item x="131"/>
        <item x="208"/>
        <item x="134"/>
        <item x="214"/>
        <item x="46"/>
        <item x="170"/>
        <item x="145"/>
        <item x="219"/>
        <item x="143"/>
        <item x="182"/>
        <item x="39"/>
        <item x="57"/>
        <item x="242"/>
        <item x="200"/>
        <item x="30"/>
        <item x="2"/>
        <item x="32"/>
        <item x="50"/>
        <item x="98"/>
        <item x="239"/>
        <item x="119"/>
        <item x="235"/>
        <item x="193"/>
        <item x="191"/>
        <item x="41"/>
        <item x="105"/>
        <item x="5"/>
        <item x="163"/>
        <item x="61"/>
        <item x="24"/>
        <item x="203"/>
        <item x="160"/>
        <item x="136"/>
        <item x="40"/>
        <item x="74"/>
        <item x="6"/>
        <item x="232"/>
        <item x="264"/>
        <item x="4"/>
        <item x="246"/>
        <item x="31"/>
        <item x="237"/>
        <item x="55"/>
        <item x="3"/>
        <item x="115"/>
        <item x="233"/>
        <item x="47"/>
        <item x="72"/>
        <item x="192"/>
        <item x="199"/>
        <item x="91"/>
        <item x="161"/>
        <item x="146"/>
        <item x="142"/>
        <item x="121"/>
        <item x="234"/>
        <item x="207"/>
        <item x="51"/>
        <item x="147"/>
        <item x="95"/>
        <item x="181"/>
        <item x="62"/>
        <item x="269"/>
        <item x="127"/>
        <item x="37"/>
        <item x="100"/>
        <item x="101"/>
        <item x="238"/>
        <item x="12"/>
        <item x="99"/>
        <item x="53"/>
        <item x="204"/>
        <item x="247"/>
        <item x="164"/>
        <item x="69"/>
        <item x="56"/>
        <item x="10"/>
        <item x="186"/>
        <item x="111"/>
        <item x="38"/>
        <item x="144"/>
        <item x="256"/>
        <item x="88"/>
        <item x="94"/>
        <item x="19"/>
        <item x="108"/>
        <item x="231"/>
        <item x="244"/>
        <item x="216"/>
        <item x="224"/>
        <item x="66"/>
        <item x="92"/>
        <item x="194"/>
        <item x="266"/>
        <item x="209"/>
        <item x="129"/>
        <item x="122"/>
        <item x="126"/>
        <item x="221"/>
        <item x="9"/>
        <item x="110"/>
        <item x="104"/>
        <item x="197"/>
        <item x="215"/>
        <item x="140"/>
        <item x="106"/>
        <item x="125"/>
        <item x="18"/>
        <item x="162"/>
        <item x="158"/>
        <item x="227"/>
        <item x="187"/>
        <item x="135"/>
        <item x="270"/>
        <item x="171"/>
        <item x="252"/>
        <item x="17"/>
        <item x="225"/>
        <item x="83"/>
        <item x="87"/>
        <item x="34"/>
        <item x="148"/>
        <item x="7"/>
        <item x="60"/>
        <item x="139"/>
        <item x="249"/>
        <item x="267"/>
        <item x="175"/>
        <item x="165"/>
        <item x="85"/>
        <item x="23"/>
        <item x="211"/>
        <item x="184"/>
        <item x="112"/>
        <item x="36"/>
        <item x="13"/>
        <item x="251"/>
        <item x="228"/>
        <item x="261"/>
        <item x="117"/>
        <item x="141"/>
        <item x="174"/>
        <item x="130"/>
        <item x="260"/>
        <item x="48"/>
        <item x="172"/>
        <item x="79"/>
        <item x="245"/>
        <item x="240"/>
        <item x="230"/>
        <item x="113"/>
        <item x="138"/>
        <item x="176"/>
        <item x="29"/>
        <item x="42"/>
        <item x="198"/>
        <item x="229"/>
        <item x="0"/>
        <item x="212"/>
        <item x="243"/>
        <item x="250"/>
        <item x="268"/>
        <item x="180"/>
        <item x="201"/>
        <item x="67"/>
        <item x="43"/>
        <item x="75"/>
        <item x="217"/>
        <item x="265"/>
        <item x="63"/>
        <item x="263"/>
        <item x="257"/>
        <item x="183"/>
        <item x="255"/>
        <item x="44"/>
        <item x="124"/>
        <item x="248"/>
        <item x="166"/>
        <item x="52"/>
        <item x="77"/>
        <item x="189"/>
        <item x="70"/>
        <item x="253"/>
        <item x="58"/>
        <item x="133"/>
        <item x="213"/>
        <item x="155"/>
        <item x="114"/>
        <item x="159"/>
        <item x="205"/>
        <item x="150"/>
        <item x="210"/>
        <item x="132"/>
        <item x="151"/>
        <item x="73"/>
        <item x="45"/>
        <item x="258"/>
        <item x="89"/>
        <item x="179"/>
        <item x="103"/>
        <item x="35"/>
        <item x="120"/>
        <item x="149"/>
        <item x="262"/>
        <item x="11"/>
        <item x="21"/>
        <item x="202"/>
        <item x="190"/>
        <item x="84"/>
        <item x="76"/>
        <item x="26"/>
        <item x="109"/>
        <item x="33"/>
        <item x="220"/>
        <item x="206"/>
        <item x="185"/>
        <item x="167"/>
        <item x="54"/>
        <item x="222"/>
        <item x="226"/>
        <item x="97"/>
        <item x="102"/>
        <item x="236"/>
        <item x="177"/>
        <item x="64"/>
        <item x="116"/>
        <item x="156"/>
        <item x="49"/>
        <item x="96"/>
        <item x="157"/>
        <item x="14"/>
        <item x="118"/>
        <item x="27"/>
        <item x="153"/>
        <item t="default"/>
      </items>
    </pivotField>
    <pivotField compact="0" showAll="0">
      <items count="247">
        <item x="103"/>
        <item x="73"/>
        <item x="3"/>
        <item x="192"/>
        <item x="9"/>
        <item x="113"/>
        <item x="27"/>
        <item x="105"/>
        <item x="74"/>
        <item x="26"/>
        <item x="81"/>
        <item x="28"/>
        <item x="12"/>
        <item x="118"/>
        <item x="119"/>
        <item x="62"/>
        <item x="30"/>
        <item x="106"/>
        <item x="57"/>
        <item x="36"/>
        <item x="241"/>
        <item x="229"/>
        <item x="99"/>
        <item x="63"/>
        <item x="114"/>
        <item x="16"/>
        <item x="128"/>
        <item x="20"/>
        <item x="70"/>
        <item x="100"/>
        <item x="76"/>
        <item x="183"/>
        <item x="24"/>
        <item x="221"/>
        <item x="151"/>
        <item x="184"/>
        <item x="162"/>
        <item x="104"/>
        <item x="158"/>
        <item x="50"/>
        <item x="96"/>
        <item x="207"/>
        <item x="140"/>
        <item x="39"/>
        <item x="208"/>
        <item x="102"/>
        <item x="193"/>
        <item x="53"/>
        <item x="84"/>
        <item x="202"/>
        <item x="19"/>
        <item x="201"/>
        <item x="69"/>
        <item x="204"/>
        <item x="88"/>
        <item x="238"/>
        <item x="40"/>
        <item x="0"/>
        <item x="31"/>
        <item x="126"/>
        <item x="216"/>
        <item x="77"/>
        <item x="66"/>
        <item x="22"/>
        <item x="172"/>
        <item x="131"/>
        <item x="47"/>
        <item x="177"/>
        <item x="228"/>
        <item x="186"/>
        <item x="123"/>
        <item x="79"/>
        <item x="170"/>
        <item x="94"/>
        <item x="32"/>
        <item x="174"/>
        <item x="210"/>
        <item x="182"/>
        <item x="14"/>
        <item x="167"/>
        <item x="232"/>
        <item x="55"/>
        <item x="133"/>
        <item x="157"/>
        <item x="34"/>
        <item x="144"/>
        <item x="65"/>
        <item x="189"/>
        <item x="56"/>
        <item x="2"/>
        <item x="145"/>
        <item x="92"/>
        <item x="159"/>
        <item x="98"/>
        <item x="8"/>
        <item x="85"/>
        <item x="225"/>
        <item x="244"/>
        <item x="168"/>
        <item x="143"/>
        <item x="196"/>
        <item x="95"/>
        <item x="169"/>
        <item x="166"/>
        <item x="200"/>
        <item x="43"/>
        <item x="129"/>
        <item x="125"/>
        <item x="214"/>
        <item x="239"/>
        <item x="161"/>
        <item x="171"/>
        <item x="148"/>
        <item x="165"/>
        <item x="227"/>
        <item x="78"/>
        <item x="195"/>
        <item x="152"/>
        <item x="230"/>
        <item x="213"/>
        <item x="58"/>
        <item x="187"/>
        <item x="181"/>
        <item x="109"/>
        <item x="191"/>
        <item x="163"/>
        <item x="155"/>
        <item x="18"/>
        <item x="146"/>
        <item x="212"/>
        <item x="38"/>
        <item x="245"/>
        <item x="82"/>
        <item x="236"/>
        <item x="49"/>
        <item x="223"/>
        <item x="178"/>
        <item x="17"/>
        <item x="41"/>
        <item x="240"/>
        <item x="234"/>
        <item x="110"/>
        <item x="46"/>
        <item x="130"/>
        <item x="5"/>
        <item x="23"/>
        <item x="37"/>
        <item x="124"/>
        <item x="44"/>
        <item x="72"/>
        <item x="197"/>
        <item x="121"/>
        <item x="222"/>
        <item x="83"/>
        <item x="15"/>
        <item x="209"/>
        <item x="199"/>
        <item x="80"/>
        <item x="233"/>
        <item x="90"/>
        <item x="188"/>
        <item x="52"/>
        <item x="198"/>
        <item x="138"/>
        <item x="7"/>
        <item x="136"/>
        <item x="111"/>
        <item x="132"/>
        <item x="190"/>
        <item x="164"/>
        <item x="97"/>
        <item x="135"/>
        <item x="153"/>
        <item x="1"/>
        <item x="217"/>
        <item x="180"/>
        <item x="42"/>
        <item x="13"/>
        <item x="211"/>
        <item x="29"/>
        <item x="93"/>
        <item x="206"/>
        <item x="61"/>
        <item x="224"/>
        <item x="205"/>
        <item x="91"/>
        <item x="33"/>
        <item x="75"/>
        <item x="89"/>
        <item x="235"/>
        <item x="134"/>
        <item x="242"/>
        <item x="60"/>
        <item x="156"/>
        <item x="160"/>
        <item x="71"/>
        <item x="237"/>
        <item x="220"/>
        <item x="116"/>
        <item x="108"/>
        <item x="142"/>
        <item x="175"/>
        <item x="215"/>
        <item x="154"/>
        <item x="147"/>
        <item x="139"/>
        <item x="35"/>
        <item x="194"/>
        <item x="117"/>
        <item x="64"/>
        <item x="87"/>
        <item x="48"/>
        <item x="67"/>
        <item x="173"/>
        <item x="21"/>
        <item x="51"/>
        <item x="112"/>
        <item x="59"/>
        <item x="185"/>
        <item x="54"/>
        <item x="137"/>
        <item x="120"/>
        <item x="122"/>
        <item x="243"/>
        <item x="231"/>
        <item x="86"/>
        <item x="101"/>
        <item x="226"/>
        <item x="115"/>
        <item x="25"/>
        <item x="149"/>
        <item x="68"/>
        <item x="203"/>
        <item x="179"/>
        <item x="4"/>
        <item x="11"/>
        <item x="150"/>
        <item x="10"/>
        <item x="176"/>
        <item x="6"/>
        <item x="127"/>
        <item x="218"/>
        <item x="219"/>
        <item x="141"/>
        <item x="45"/>
        <item x="107"/>
        <item t="default"/>
      </items>
    </pivotField>
    <pivotField compact="0" showAll="0">
      <items count="282">
        <item x="166"/>
        <item x="121"/>
        <item x="254"/>
        <item x="6"/>
        <item x="272"/>
        <item x="98"/>
        <item x="32"/>
        <item x="262"/>
        <item x="197"/>
        <item x="251"/>
        <item x="159"/>
        <item x="185"/>
        <item x="155"/>
        <item x="134"/>
        <item x="204"/>
        <item x="156"/>
        <item x="88"/>
        <item x="190"/>
        <item x="65"/>
        <item x="129"/>
        <item x="182"/>
        <item x="118"/>
        <item x="169"/>
        <item x="133"/>
        <item x="196"/>
        <item x="19"/>
        <item x="0"/>
        <item x="47"/>
        <item x="106"/>
        <item x="102"/>
        <item x="149"/>
        <item x="230"/>
        <item x="193"/>
        <item x="223"/>
        <item x="92"/>
        <item x="66"/>
        <item x="40"/>
        <item x="70"/>
        <item x="217"/>
        <item x="200"/>
        <item x="83"/>
        <item x="126"/>
        <item x="56"/>
        <item x="153"/>
        <item x="97"/>
        <item x="38"/>
        <item x="42"/>
        <item x="131"/>
        <item x="5"/>
        <item x="16"/>
        <item x="124"/>
        <item x="82"/>
        <item x="229"/>
        <item x="210"/>
        <item x="216"/>
        <item x="103"/>
        <item x="141"/>
        <item x="60"/>
        <item x="246"/>
        <item x="25"/>
        <item x="201"/>
        <item x="30"/>
        <item x="50"/>
        <item x="228"/>
        <item x="175"/>
        <item x="269"/>
        <item x="191"/>
        <item x="76"/>
        <item x="146"/>
        <item x="104"/>
        <item x="36"/>
        <item x="112"/>
        <item x="1"/>
        <item x="219"/>
        <item x="109"/>
        <item x="39"/>
        <item x="2"/>
        <item x="172"/>
        <item x="140"/>
        <item x="186"/>
        <item x="14"/>
        <item x="265"/>
        <item x="113"/>
        <item x="99"/>
        <item x="278"/>
        <item x="183"/>
        <item x="240"/>
        <item x="242"/>
        <item x="10"/>
        <item x="123"/>
        <item x="59"/>
        <item x="252"/>
        <item x="122"/>
        <item x="7"/>
        <item x="154"/>
        <item x="125"/>
        <item x="127"/>
        <item x="91"/>
        <item x="271"/>
        <item x="52"/>
        <item x="9"/>
        <item x="245"/>
        <item x="171"/>
        <item x="276"/>
        <item x="79"/>
        <item x="86"/>
        <item x="222"/>
        <item x="120"/>
        <item x="279"/>
        <item x="256"/>
        <item x="232"/>
        <item x="20"/>
        <item x="27"/>
        <item x="35"/>
        <item x="206"/>
        <item x="207"/>
        <item x="273"/>
        <item x="12"/>
        <item x="227"/>
        <item x="58"/>
        <item x="101"/>
        <item x="234"/>
        <item x="199"/>
        <item x="259"/>
        <item x="130"/>
        <item x="173"/>
        <item x="181"/>
        <item x="43"/>
        <item x="261"/>
        <item x="67"/>
        <item x="74"/>
        <item x="18"/>
        <item x="93"/>
        <item x="23"/>
        <item x="28"/>
        <item x="277"/>
        <item x="29"/>
        <item x="213"/>
        <item x="15"/>
        <item x="115"/>
        <item x="72"/>
        <item x="179"/>
        <item x="128"/>
        <item x="139"/>
        <item x="238"/>
        <item x="137"/>
        <item x="116"/>
        <item x="152"/>
        <item x="174"/>
        <item x="135"/>
        <item x="194"/>
        <item x="198"/>
        <item x="34"/>
        <item x="90"/>
        <item x="202"/>
        <item x="81"/>
        <item x="192"/>
        <item x="248"/>
        <item x="184"/>
        <item x="26"/>
        <item x="142"/>
        <item x="266"/>
        <item x="247"/>
        <item x="48"/>
        <item x="45"/>
        <item x="218"/>
        <item x="117"/>
        <item x="255"/>
        <item x="189"/>
        <item x="54"/>
        <item x="180"/>
        <item x="187"/>
        <item x="235"/>
        <item x="63"/>
        <item x="231"/>
        <item x="250"/>
        <item x="44"/>
        <item x="176"/>
        <item x="208"/>
        <item x="71"/>
        <item x="157"/>
        <item x="257"/>
        <item x="21"/>
        <item x="77"/>
        <item x="138"/>
        <item x="68"/>
        <item x="100"/>
        <item x="89"/>
        <item x="211"/>
        <item x="164"/>
        <item x="148"/>
        <item x="239"/>
        <item x="258"/>
        <item x="243"/>
        <item x="212"/>
        <item x="136"/>
        <item x="17"/>
        <item x="178"/>
        <item x="151"/>
        <item x="145"/>
        <item x="111"/>
        <item x="163"/>
        <item x="170"/>
        <item x="221"/>
        <item x="249"/>
        <item x="87"/>
        <item x="244"/>
        <item x="94"/>
        <item x="46"/>
        <item x="147"/>
        <item x="105"/>
        <item x="150"/>
        <item x="158"/>
        <item x="264"/>
        <item x="267"/>
        <item x="49"/>
        <item x="195"/>
        <item x="226"/>
        <item x="167"/>
        <item x="62"/>
        <item x="144"/>
        <item x="188"/>
        <item x="41"/>
        <item x="84"/>
        <item x="22"/>
        <item x="168"/>
        <item x="270"/>
        <item x="53"/>
        <item x="119"/>
        <item x="96"/>
        <item x="95"/>
        <item x="209"/>
        <item x="161"/>
        <item x="114"/>
        <item x="61"/>
        <item x="78"/>
        <item x="260"/>
        <item x="13"/>
        <item x="160"/>
        <item x="225"/>
        <item x="215"/>
        <item x="236"/>
        <item x="4"/>
        <item x="143"/>
        <item x="241"/>
        <item x="165"/>
        <item x="108"/>
        <item x="253"/>
        <item x="3"/>
        <item x="110"/>
        <item x="280"/>
        <item x="24"/>
        <item x="107"/>
        <item x="220"/>
        <item x="85"/>
        <item x="51"/>
        <item x="55"/>
        <item x="37"/>
        <item x="275"/>
        <item x="132"/>
        <item x="203"/>
        <item x="224"/>
        <item x="263"/>
        <item x="8"/>
        <item x="31"/>
        <item x="75"/>
        <item x="64"/>
        <item x="233"/>
        <item x="214"/>
        <item x="268"/>
        <item x="274"/>
        <item x="33"/>
        <item x="237"/>
        <item x="205"/>
        <item x="11"/>
        <item x="80"/>
        <item x="57"/>
        <item x="69"/>
        <item x="73"/>
        <item x="177"/>
        <item x="162"/>
        <item t="default"/>
      </items>
    </pivotField>
    <pivotField compact="0" showAll="0">
      <items count="299">
        <item x="40"/>
        <item x="164"/>
        <item x="249"/>
        <item x="45"/>
        <item x="116"/>
        <item x="212"/>
        <item x="215"/>
        <item x="151"/>
        <item x="36"/>
        <item x="74"/>
        <item x="175"/>
        <item x="122"/>
        <item x="31"/>
        <item x="50"/>
        <item x="160"/>
        <item x="171"/>
        <item x="291"/>
        <item x="255"/>
        <item x="134"/>
        <item x="273"/>
        <item x="206"/>
        <item x="157"/>
        <item x="270"/>
        <item x="12"/>
        <item x="294"/>
        <item x="29"/>
        <item x="136"/>
        <item x="166"/>
        <item x="239"/>
        <item x="99"/>
        <item x="91"/>
        <item x="238"/>
        <item x="63"/>
        <item x="208"/>
        <item x="274"/>
        <item x="158"/>
        <item x="6"/>
        <item x="24"/>
        <item x="58"/>
        <item x="103"/>
        <item x="190"/>
        <item x="276"/>
        <item x="118"/>
        <item x="94"/>
        <item x="17"/>
        <item x="51"/>
        <item x="80"/>
        <item x="182"/>
        <item x="115"/>
        <item x="62"/>
        <item x="193"/>
        <item x="42"/>
        <item x="225"/>
        <item x="147"/>
        <item x="85"/>
        <item x="233"/>
        <item x="117"/>
        <item x="61"/>
        <item x="88"/>
        <item x="174"/>
        <item x="73"/>
        <item x="13"/>
        <item x="196"/>
        <item x="18"/>
        <item x="180"/>
        <item x="48"/>
        <item x="133"/>
        <item x="185"/>
        <item x="167"/>
        <item x="256"/>
        <item x="11"/>
        <item x="25"/>
        <item x="34"/>
        <item x="217"/>
        <item x="82"/>
        <item x="199"/>
        <item x="72"/>
        <item x="142"/>
        <item x="129"/>
        <item x="27"/>
        <item x="265"/>
        <item x="104"/>
        <item x="283"/>
        <item x="5"/>
        <item x="246"/>
        <item x="252"/>
        <item x="219"/>
        <item x="49"/>
        <item x="96"/>
        <item x="251"/>
        <item x="65"/>
        <item x="231"/>
        <item x="23"/>
        <item x="192"/>
        <item x="19"/>
        <item x="3"/>
        <item x="92"/>
        <item x="37"/>
        <item x="278"/>
        <item x="144"/>
        <item x="152"/>
        <item x="102"/>
        <item x="108"/>
        <item x="57"/>
        <item x="261"/>
        <item x="26"/>
        <item x="127"/>
        <item x="264"/>
        <item x="53"/>
        <item x="257"/>
        <item x="123"/>
        <item x="271"/>
        <item x="228"/>
        <item x="130"/>
        <item x="111"/>
        <item x="234"/>
        <item x="226"/>
        <item x="78"/>
        <item x="138"/>
        <item x="237"/>
        <item x="275"/>
        <item x="43"/>
        <item x="68"/>
        <item x="149"/>
        <item x="296"/>
        <item x="165"/>
        <item x="8"/>
        <item x="244"/>
        <item x="286"/>
        <item x="1"/>
        <item x="15"/>
        <item x="33"/>
        <item x="287"/>
        <item x="279"/>
        <item x="162"/>
        <item x="245"/>
        <item x="202"/>
        <item x="266"/>
        <item x="55"/>
        <item x="67"/>
        <item x="140"/>
        <item x="84"/>
        <item x="83"/>
        <item x="240"/>
        <item x="47"/>
        <item x="71"/>
        <item x="141"/>
        <item x="184"/>
        <item x="169"/>
        <item x="44"/>
        <item x="216"/>
        <item x="30"/>
        <item x="163"/>
        <item x="205"/>
        <item x="154"/>
        <item x="292"/>
        <item x="254"/>
        <item x="110"/>
        <item x="243"/>
        <item x="70"/>
        <item x="179"/>
        <item x="222"/>
        <item x="253"/>
        <item x="269"/>
        <item x="16"/>
        <item x="148"/>
        <item x="60"/>
        <item x="189"/>
        <item x="135"/>
        <item x="241"/>
        <item x="87"/>
        <item x="93"/>
        <item x="210"/>
        <item x="56"/>
        <item x="260"/>
        <item x="126"/>
        <item x="247"/>
        <item x="52"/>
        <item x="150"/>
        <item x="263"/>
        <item x="7"/>
        <item x="64"/>
        <item x="173"/>
        <item x="285"/>
        <item x="250"/>
        <item x="198"/>
        <item x="227"/>
        <item x="107"/>
        <item x="106"/>
        <item x="22"/>
        <item x="20"/>
        <item x="281"/>
        <item x="293"/>
        <item x="125"/>
        <item x="284"/>
        <item x="201"/>
        <item x="137"/>
        <item x="121"/>
        <item x="280"/>
        <item x="155"/>
        <item x="38"/>
        <item x="223"/>
        <item x="21"/>
        <item x="213"/>
        <item x="262"/>
        <item x="41"/>
        <item x="236"/>
        <item x="89"/>
        <item x="282"/>
        <item x="177"/>
        <item x="178"/>
        <item x="46"/>
        <item x="268"/>
        <item x="181"/>
        <item x="172"/>
        <item x="229"/>
        <item x="235"/>
        <item x="209"/>
        <item x="124"/>
        <item x="101"/>
        <item x="204"/>
        <item x="114"/>
        <item x="139"/>
        <item x="59"/>
        <item x="230"/>
        <item x="153"/>
        <item x="207"/>
        <item x="218"/>
        <item x="288"/>
        <item x="77"/>
        <item x="128"/>
        <item x="195"/>
        <item x="105"/>
        <item x="221"/>
        <item x="272"/>
        <item x="76"/>
        <item x="203"/>
        <item x="232"/>
        <item x="259"/>
        <item x="197"/>
        <item x="97"/>
        <item x="10"/>
        <item x="224"/>
        <item x="4"/>
        <item x="14"/>
        <item x="81"/>
        <item x="132"/>
        <item x="112"/>
        <item x="109"/>
        <item x="200"/>
        <item x="66"/>
        <item x="161"/>
        <item x="120"/>
        <item x="194"/>
        <item x="2"/>
        <item x="32"/>
        <item x="75"/>
        <item x="211"/>
        <item x="98"/>
        <item x="95"/>
        <item x="267"/>
        <item x="113"/>
        <item x="143"/>
        <item x="0"/>
        <item x="69"/>
        <item x="277"/>
        <item x="220"/>
        <item x="131"/>
        <item x="9"/>
        <item x="290"/>
        <item x="86"/>
        <item x="186"/>
        <item x="54"/>
        <item x="146"/>
        <item x="183"/>
        <item x="297"/>
        <item x="156"/>
        <item x="119"/>
        <item x="176"/>
        <item x="145"/>
        <item x="295"/>
        <item x="258"/>
        <item x="214"/>
        <item x="187"/>
        <item x="188"/>
        <item x="28"/>
        <item x="170"/>
        <item x="35"/>
        <item x="191"/>
        <item x="90"/>
        <item x="242"/>
        <item x="79"/>
        <item x="159"/>
        <item x="39"/>
        <item x="289"/>
        <item x="168"/>
        <item x="248"/>
        <item x="100"/>
        <item t="default"/>
      </items>
    </pivotField>
    <pivotField compact="0" showAll="0">
      <items count="301">
        <item x="2"/>
        <item x="156"/>
        <item x="262"/>
        <item x="91"/>
        <item x="192"/>
        <item x="185"/>
        <item x="202"/>
        <item x="216"/>
        <item x="160"/>
        <item x="274"/>
        <item x="117"/>
        <item x="222"/>
        <item x="272"/>
        <item x="18"/>
        <item x="258"/>
        <item x="270"/>
        <item x="81"/>
        <item x="103"/>
        <item x="253"/>
        <item x="20"/>
        <item x="194"/>
        <item x="265"/>
        <item x="90"/>
        <item x="227"/>
        <item x="34"/>
        <item x="154"/>
        <item x="152"/>
        <item x="161"/>
        <item x="268"/>
        <item x="241"/>
        <item x="138"/>
        <item x="164"/>
        <item x="32"/>
        <item x="17"/>
        <item x="73"/>
        <item x="43"/>
        <item x="183"/>
        <item x="242"/>
        <item x="204"/>
        <item x="276"/>
        <item x="158"/>
        <item x="188"/>
        <item x="266"/>
        <item x="153"/>
        <item x="74"/>
        <item x="41"/>
        <item x="291"/>
        <item x="8"/>
        <item x="62"/>
        <item x="178"/>
        <item x="25"/>
        <item x="220"/>
        <item x="200"/>
        <item x="240"/>
        <item x="127"/>
        <item x="269"/>
        <item x="131"/>
        <item x="243"/>
        <item x="54"/>
        <item x="261"/>
        <item x="42"/>
        <item x="282"/>
        <item x="125"/>
        <item x="58"/>
        <item x="120"/>
        <item x="146"/>
        <item x="228"/>
        <item x="249"/>
        <item x="89"/>
        <item x="237"/>
        <item x="186"/>
        <item x="150"/>
        <item x="234"/>
        <item x="24"/>
        <item x="130"/>
        <item x="277"/>
        <item x="176"/>
        <item x="116"/>
        <item x="134"/>
        <item x="79"/>
        <item x="280"/>
        <item x="55"/>
        <item x="48"/>
        <item x="169"/>
        <item x="92"/>
        <item x="136"/>
        <item x="292"/>
        <item x="72"/>
        <item x="52"/>
        <item x="203"/>
        <item x="53"/>
        <item x="273"/>
        <item x="75"/>
        <item x="27"/>
        <item x="93"/>
        <item x="198"/>
        <item x="145"/>
        <item x="296"/>
        <item x="39"/>
        <item x="36"/>
        <item x="163"/>
        <item x="140"/>
        <item x="229"/>
        <item x="271"/>
        <item x="30"/>
        <item x="16"/>
        <item x="170"/>
        <item x="6"/>
        <item x="151"/>
        <item x="40"/>
        <item x="14"/>
        <item x="187"/>
        <item x="98"/>
        <item x="49"/>
        <item x="232"/>
        <item x="133"/>
        <item x="245"/>
        <item x="88"/>
        <item x="184"/>
        <item x="281"/>
        <item x="3"/>
        <item x="189"/>
        <item x="19"/>
        <item x="173"/>
        <item x="115"/>
        <item x="66"/>
        <item x="172"/>
        <item x="197"/>
        <item x="64"/>
        <item x="196"/>
        <item x="80"/>
        <item x="181"/>
        <item x="231"/>
        <item x="60"/>
        <item x="57"/>
        <item x="218"/>
        <item x="193"/>
        <item x="175"/>
        <item x="267"/>
        <item x="255"/>
        <item x="162"/>
        <item x="26"/>
        <item x="82"/>
        <item x="104"/>
        <item x="28"/>
        <item x="168"/>
        <item x="223"/>
        <item x="126"/>
        <item x="238"/>
        <item x="250"/>
        <item x="213"/>
        <item x="35"/>
        <item x="97"/>
        <item x="205"/>
        <item x="107"/>
        <item x="190"/>
        <item x="15"/>
        <item x="45"/>
        <item x="209"/>
        <item x="289"/>
        <item x="85"/>
        <item x="83"/>
        <item x="278"/>
        <item x="37"/>
        <item x="46"/>
        <item x="259"/>
        <item x="108"/>
        <item x="257"/>
        <item x="251"/>
        <item x="10"/>
        <item x="246"/>
        <item x="56"/>
        <item x="70"/>
        <item x="199"/>
        <item x="283"/>
        <item x="182"/>
        <item x="221"/>
        <item x="263"/>
        <item x="129"/>
        <item x="11"/>
        <item x="297"/>
        <item x="285"/>
        <item x="191"/>
        <item x="260"/>
        <item x="69"/>
        <item x="155"/>
        <item x="119"/>
        <item x="31"/>
        <item x="86"/>
        <item x="275"/>
        <item x="128"/>
        <item x="174"/>
        <item x="180"/>
        <item x="293"/>
        <item x="149"/>
        <item x="110"/>
        <item x="147"/>
        <item x="287"/>
        <item x="47"/>
        <item x="111"/>
        <item x="51"/>
        <item x="279"/>
        <item x="247"/>
        <item x="217"/>
        <item x="12"/>
        <item x="7"/>
        <item x="78"/>
        <item x="50"/>
        <item x="77"/>
        <item x="171"/>
        <item x="100"/>
        <item x="256"/>
        <item x="132"/>
        <item x="29"/>
        <item x="84"/>
        <item x="195"/>
        <item x="290"/>
        <item x="206"/>
        <item x="143"/>
        <item x="144"/>
        <item x="224"/>
        <item x="141"/>
        <item x="211"/>
        <item x="1"/>
        <item x="165"/>
        <item x="148"/>
        <item x="295"/>
        <item x="94"/>
        <item x="294"/>
        <item x="233"/>
        <item x="109"/>
        <item x="177"/>
        <item x="299"/>
        <item x="230"/>
        <item x="137"/>
        <item x="286"/>
        <item x="68"/>
        <item x="159"/>
        <item x="114"/>
        <item x="235"/>
        <item x="252"/>
        <item x="123"/>
        <item x="0"/>
        <item x="207"/>
        <item x="288"/>
        <item x="33"/>
        <item x="226"/>
        <item x="113"/>
        <item x="236"/>
        <item x="101"/>
        <item x="96"/>
        <item x="71"/>
        <item x="102"/>
        <item x="254"/>
        <item x="298"/>
        <item x="122"/>
        <item x="61"/>
        <item x="248"/>
        <item x="4"/>
        <item x="210"/>
        <item x="95"/>
        <item x="76"/>
        <item x="9"/>
        <item x="118"/>
        <item x="67"/>
        <item x="23"/>
        <item x="44"/>
        <item x="106"/>
        <item x="244"/>
        <item x="139"/>
        <item x="142"/>
        <item x="166"/>
        <item x="215"/>
        <item x="105"/>
        <item x="157"/>
        <item x="201"/>
        <item x="284"/>
        <item x="239"/>
        <item x="208"/>
        <item x="99"/>
        <item x="5"/>
        <item x="13"/>
        <item x="59"/>
        <item x="219"/>
        <item x="135"/>
        <item x="63"/>
        <item x="38"/>
        <item x="22"/>
        <item x="112"/>
        <item x="212"/>
        <item x="214"/>
        <item x="87"/>
        <item x="21"/>
        <item x="167"/>
        <item x="65"/>
        <item x="179"/>
        <item x="264"/>
        <item x="121"/>
        <item x="124"/>
        <item x="225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dataField="1" compact="0" numFmtId="165" showAll="0">
      <items count="301">
        <item x="224"/>
        <item x="65"/>
        <item x="201"/>
        <item x="23"/>
        <item x="63"/>
        <item x="147"/>
        <item x="137"/>
        <item x="195"/>
        <item x="217"/>
        <item x="135"/>
        <item x="106"/>
        <item x="85"/>
        <item x="286"/>
        <item x="208"/>
        <item x="212"/>
        <item x="98"/>
        <item x="97"/>
        <item x="61"/>
        <item x="252"/>
        <item x="104"/>
        <item x="254"/>
        <item x="22"/>
        <item x="207"/>
        <item x="125"/>
        <item x="180"/>
        <item x="105"/>
        <item x="179"/>
        <item x="251"/>
        <item x="31"/>
        <item x="67"/>
        <item x="260"/>
        <item x="9"/>
        <item x="79"/>
        <item x="95"/>
        <item x="248"/>
        <item x="45"/>
        <item x="232"/>
        <item x="264"/>
        <item x="37"/>
        <item x="219"/>
        <item x="166"/>
        <item x="119"/>
        <item x="186"/>
        <item x="165"/>
        <item x="74"/>
        <item x="10"/>
        <item x="111"/>
        <item x="276"/>
        <item x="76"/>
        <item x="5"/>
        <item x="191"/>
        <item x="283"/>
        <item x="84"/>
        <item x="275"/>
        <item x="33"/>
        <item x="295"/>
        <item x="187"/>
        <item x="55"/>
        <item x="13"/>
        <item x="3"/>
        <item x="99"/>
        <item x="261"/>
        <item x="73"/>
        <item x="90"/>
        <item x="243"/>
        <item x="56"/>
        <item x="19"/>
        <item x="222"/>
        <item x="109"/>
        <item x="236"/>
        <item x="15"/>
        <item x="82"/>
        <item x="244"/>
        <item x="175"/>
        <item x="238"/>
        <item x="167"/>
        <item x="49"/>
        <item x="162"/>
        <item x="0"/>
        <item x="285"/>
        <item x="141"/>
        <item x="100"/>
        <item x="229"/>
        <item x="68"/>
        <item x="59"/>
        <item x="78"/>
        <item x="86"/>
        <item x="124"/>
        <item x="281"/>
        <item x="196"/>
        <item x="213"/>
        <item x="11"/>
        <item x="155"/>
        <item x="210"/>
        <item x="177"/>
        <item x="129"/>
        <item x="221"/>
        <item x="144"/>
        <item x="150"/>
        <item x="174"/>
        <item x="284"/>
        <item x="280"/>
        <item x="102"/>
        <item x="287"/>
        <item x="101"/>
        <item x="296"/>
        <item x="271"/>
        <item x="44"/>
        <item x="113"/>
        <item x="157"/>
        <item x="197"/>
        <item x="218"/>
        <item x="173"/>
        <item x="215"/>
        <item x="214"/>
        <item x="279"/>
        <item x="170"/>
        <item x="21"/>
        <item x="126"/>
        <item x="172"/>
        <item x="132"/>
        <item x="122"/>
        <item x="48"/>
        <item x="38"/>
        <item x="71"/>
        <item x="88"/>
        <item x="257"/>
        <item x="80"/>
        <item x="46"/>
        <item x="14"/>
        <item x="188"/>
        <item x="211"/>
        <item x="114"/>
        <item x="47"/>
        <item x="145"/>
        <item x="121"/>
        <item x="70"/>
        <item x="117"/>
        <item x="178"/>
        <item x="282"/>
        <item x="128"/>
        <item x="278"/>
        <item x="294"/>
        <item x="298"/>
        <item x="226"/>
        <item x="133"/>
        <item x="273"/>
        <item x="225"/>
        <item x="146"/>
        <item x="87"/>
        <item x="139"/>
        <item x="142"/>
        <item x="81"/>
        <item x="190"/>
        <item x="107"/>
        <item x="171"/>
        <item x="209"/>
        <item x="112"/>
        <item x="118"/>
        <item x="189"/>
        <item x="51"/>
        <item x="206"/>
        <item x="72"/>
        <item x="239"/>
        <item x="123"/>
        <item x="96"/>
        <item x="148"/>
        <item x="94"/>
        <item x="247"/>
        <item x="77"/>
        <item x="199"/>
        <item x="159"/>
        <item x="7"/>
        <item x="30"/>
        <item x="193"/>
        <item x="233"/>
        <item x="267"/>
        <item x="110"/>
        <item x="230"/>
        <item x="1"/>
        <item x="250"/>
        <item x="4"/>
        <item x="131"/>
        <item x="182"/>
        <item x="39"/>
        <item x="290"/>
        <item x="149"/>
        <item x="156"/>
        <item x="36"/>
        <item x="168"/>
        <item x="288"/>
        <item x="235"/>
        <item x="249"/>
        <item x="69"/>
        <item x="263"/>
        <item x="108"/>
        <item x="143"/>
        <item x="181"/>
        <item x="259"/>
        <item x="194"/>
        <item x="256"/>
        <item x="50"/>
        <item x="16"/>
        <item x="299"/>
        <item x="83"/>
        <item x="297"/>
        <item x="32"/>
        <item x="115"/>
        <item x="29"/>
        <item x="246"/>
        <item x="42"/>
        <item x="223"/>
        <item x="66"/>
        <item x="12"/>
        <item x="205"/>
        <item x="183"/>
        <item x="35"/>
        <item x="160"/>
        <item x="151"/>
        <item x="237"/>
        <item x="140"/>
        <item x="293"/>
        <item x="134"/>
        <item x="289"/>
        <item x="116"/>
        <item x="24"/>
        <item x="64"/>
        <item x="262"/>
        <item x="53"/>
        <item x="200"/>
        <item x="26"/>
        <item x="40"/>
        <item x="93"/>
        <item x="163"/>
        <item x="28"/>
        <item x="184"/>
        <item x="234"/>
        <item x="231"/>
        <item x="103"/>
        <item x="60"/>
        <item x="8"/>
        <item x="270"/>
        <item x="154"/>
        <item x="255"/>
        <item x="245"/>
        <item x="153"/>
        <item x="240"/>
        <item x="57"/>
        <item x="2"/>
        <item x="266"/>
        <item x="269"/>
        <item x="34"/>
        <item x="75"/>
        <item x="228"/>
        <item x="6"/>
        <item x="120"/>
        <item x="136"/>
        <item x="62"/>
        <item x="27"/>
        <item x="130"/>
        <item x="198"/>
        <item x="202"/>
        <item x="58"/>
        <item x="220"/>
        <item x="277"/>
        <item x="292"/>
        <item x="92"/>
        <item x="41"/>
        <item x="203"/>
        <item x="89"/>
        <item x="43"/>
        <item x="52"/>
        <item x="169"/>
        <item x="25"/>
        <item x="138"/>
        <item x="176"/>
        <item x="164"/>
        <item x="242"/>
        <item x="20"/>
        <item x="54"/>
        <item x="258"/>
        <item x="192"/>
        <item x="17"/>
        <item x="253"/>
        <item x="241"/>
        <item x="227"/>
        <item x="161"/>
        <item x="127"/>
        <item x="216"/>
        <item x="291"/>
        <item x="204"/>
        <item x="152"/>
        <item x="158"/>
        <item x="91"/>
        <item x="272"/>
        <item x="265"/>
        <item x="268"/>
        <item x="274"/>
        <item x="185"/>
        <item x="18"/>
        <item t="default"/>
      </items>
    </pivotField>
  </pivotFields>
  <rowFields count="1">
    <field x="4"/>
  </rowFields>
  <rowItems count="12">
    <i>
      <x v="9"/>
    </i>
    <i>
      <x v="4"/>
    </i>
    <i>
      <x v="2"/>
    </i>
    <i>
      <x v="1"/>
    </i>
    <i>
      <x v="6"/>
    </i>
    <i>
      <x v="10"/>
    </i>
    <i>
      <x v="7"/>
    </i>
    <i>
      <x v="5"/>
    </i>
    <i>
      <x v="3"/>
    </i>
    <i>
      <x/>
    </i>
    <i>
      <x v="8"/>
    </i>
    <i t="grand">
      <x/>
    </i>
  </rowItems>
  <colItems count="1">
    <i/>
  </colItems>
  <dataFields count="1">
    <dataField name="Average of Engagement_Rate" fld="13" subtotal="average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3:B18" firstHeaderRow="1" firstDataRow="1" firstDataCol="1"/>
  <pivotFields count="7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198">
        <item x="111"/>
        <item x="190"/>
        <item x="130"/>
        <item x="144"/>
        <item x="92"/>
        <item x="195"/>
        <item x="146"/>
        <item x="113"/>
        <item x="64"/>
        <item x="177"/>
        <item x="27"/>
        <item x="116"/>
        <item x="104"/>
        <item x="91"/>
        <item x="186"/>
        <item x="48"/>
        <item x="70"/>
        <item x="172"/>
        <item x="126"/>
        <item x="173"/>
        <item x="32"/>
        <item x="26"/>
        <item x="21"/>
        <item x="53"/>
        <item x="156"/>
        <item x="192"/>
        <item x="61"/>
        <item x="62"/>
        <item x="72"/>
        <item x="58"/>
        <item x="143"/>
        <item x="161"/>
        <item x="38"/>
        <item x="19"/>
        <item x="71"/>
        <item x="187"/>
        <item x="167"/>
        <item x="128"/>
        <item x="122"/>
        <item x="78"/>
        <item x="98"/>
        <item x="159"/>
        <item x="89"/>
        <item x="185"/>
        <item x="36"/>
        <item x="23"/>
        <item x="18"/>
        <item x="109"/>
        <item x="142"/>
        <item x="37"/>
        <item x="24"/>
        <item x="7"/>
        <item x="160"/>
        <item x="34"/>
        <item x="0"/>
        <item x="112"/>
        <item x="137"/>
        <item x="63"/>
        <item x="66"/>
        <item x="138"/>
        <item x="107"/>
        <item x="117"/>
        <item x="74"/>
        <item x="168"/>
        <item x="157"/>
        <item x="47"/>
        <item x="120"/>
        <item x="133"/>
        <item x="175"/>
        <item x="110"/>
        <item x="6"/>
        <item x="13"/>
        <item x="90"/>
        <item x="164"/>
        <item x="39"/>
        <item x="75"/>
        <item x="65"/>
        <item x="147"/>
        <item x="180"/>
        <item x="94"/>
        <item x="103"/>
        <item x="45"/>
        <item x="95"/>
        <item x="96"/>
        <item x="79"/>
        <item x="105"/>
        <item x="191"/>
        <item x="16"/>
        <item x="136"/>
        <item x="182"/>
        <item x="51"/>
        <item x="49"/>
        <item x="40"/>
        <item x="148"/>
        <item x="189"/>
        <item x="153"/>
        <item x="52"/>
        <item x="149"/>
        <item x="85"/>
        <item x="171"/>
        <item x="11"/>
        <item x="59"/>
        <item x="69"/>
        <item x="22"/>
        <item x="33"/>
        <item x="179"/>
        <item x="101"/>
        <item x="99"/>
        <item x="15"/>
        <item x="9"/>
        <item x="181"/>
        <item x="35"/>
        <item x="170"/>
        <item x="84"/>
        <item x="97"/>
        <item x="10"/>
        <item x="73"/>
        <item x="108"/>
        <item x="118"/>
        <item x="135"/>
        <item x="183"/>
        <item x="115"/>
        <item x="174"/>
        <item x="86"/>
        <item x="54"/>
        <item x="145"/>
        <item x="42"/>
        <item x="44"/>
        <item x="152"/>
        <item x="154"/>
        <item x="46"/>
        <item x="77"/>
        <item x="41"/>
        <item x="4"/>
        <item x="81"/>
        <item x="127"/>
        <item x="56"/>
        <item x="165"/>
        <item x="60"/>
        <item x="162"/>
        <item x="5"/>
        <item x="188"/>
        <item x="20"/>
        <item x="134"/>
        <item x="129"/>
        <item x="132"/>
        <item x="184"/>
        <item x="25"/>
        <item x="43"/>
        <item x="194"/>
        <item x="119"/>
        <item x="29"/>
        <item x="28"/>
        <item x="8"/>
        <item x="88"/>
        <item x="106"/>
        <item x="124"/>
        <item x="155"/>
        <item x="196"/>
        <item x="178"/>
        <item x="82"/>
        <item x="141"/>
        <item x="1"/>
        <item x="193"/>
        <item x="80"/>
        <item x="139"/>
        <item x="3"/>
        <item x="67"/>
        <item x="68"/>
        <item x="76"/>
        <item x="100"/>
        <item x="30"/>
        <item x="83"/>
        <item x="131"/>
        <item x="121"/>
        <item x="2"/>
        <item x="14"/>
        <item x="17"/>
        <item x="87"/>
        <item x="158"/>
        <item x="166"/>
        <item x="163"/>
        <item x="55"/>
        <item x="140"/>
        <item x="114"/>
        <item x="50"/>
        <item x="93"/>
        <item x="176"/>
        <item x="31"/>
        <item x="102"/>
        <item x="150"/>
        <item x="57"/>
        <item x="169"/>
        <item x="125"/>
        <item x="151"/>
        <item x="123"/>
        <item x="12"/>
        <item t="default"/>
      </items>
    </pivotField>
    <pivotField compact="0" showAll="0">
      <items count="184">
        <item x="104"/>
        <item x="137"/>
        <item x="123"/>
        <item x="164"/>
        <item x="32"/>
        <item x="64"/>
        <item x="161"/>
        <item x="135"/>
        <item x="72"/>
        <item x="21"/>
        <item x="26"/>
        <item x="58"/>
        <item x="175"/>
        <item x="90"/>
        <item x="27"/>
        <item x="147"/>
        <item x="173"/>
        <item x="48"/>
        <item x="181"/>
        <item x="106"/>
        <item x="61"/>
        <item x="177"/>
        <item x="116"/>
        <item x="89"/>
        <item x="109"/>
        <item x="102"/>
        <item x="71"/>
        <item x="37"/>
        <item x="70"/>
        <item x="19"/>
        <item x="120"/>
        <item x="66"/>
        <item x="36"/>
        <item x="78"/>
        <item x="6"/>
        <item x="152"/>
        <item x="53"/>
        <item x="23"/>
        <item x="110"/>
        <item x="62"/>
        <item x="88"/>
        <item x="18"/>
        <item x="87"/>
        <item x="38"/>
        <item x="156"/>
        <item x="79"/>
        <item x="0"/>
        <item x="172"/>
        <item x="63"/>
        <item x="10"/>
        <item x="13"/>
        <item x="24"/>
        <item x="150"/>
        <item x="40"/>
        <item x="179"/>
        <item x="42"/>
        <item x="121"/>
        <item x="103"/>
        <item x="166"/>
        <item x="94"/>
        <item x="49"/>
        <item x="138"/>
        <item x="77"/>
        <item x="98"/>
        <item x="162"/>
        <item x="29"/>
        <item x="169"/>
        <item x="151"/>
        <item x="56"/>
        <item x="153"/>
        <item x="15"/>
        <item x="16"/>
        <item x="95"/>
        <item x="144"/>
        <item x="160"/>
        <item x="140"/>
        <item x="47"/>
        <item x="39"/>
        <item x="4"/>
        <item x="158"/>
        <item x="68"/>
        <item x="129"/>
        <item x="155"/>
        <item x="101"/>
        <item x="5"/>
        <item x="22"/>
        <item x="83"/>
        <item x="7"/>
        <item x="59"/>
        <item x="157"/>
        <item x="124"/>
        <item x="100"/>
        <item x="44"/>
        <item x="74"/>
        <item x="65"/>
        <item x="97"/>
        <item x="34"/>
        <item x="93"/>
        <item x="148"/>
        <item x="105"/>
        <item x="46"/>
        <item x="130"/>
        <item x="141"/>
        <item x="14"/>
        <item x="131"/>
        <item x="31"/>
        <item x="132"/>
        <item x="176"/>
        <item x="45"/>
        <item x="75"/>
        <item x="125"/>
        <item x="57"/>
        <item x="114"/>
        <item x="126"/>
        <item x="134"/>
        <item x="60"/>
        <item x="159"/>
        <item x="92"/>
        <item x="82"/>
        <item x="165"/>
        <item x="117"/>
        <item x="178"/>
        <item x="122"/>
        <item x="136"/>
        <item x="115"/>
        <item x="41"/>
        <item x="99"/>
        <item x="51"/>
        <item x="118"/>
        <item x="96"/>
        <item x="167"/>
        <item x="54"/>
        <item x="127"/>
        <item x="149"/>
        <item x="9"/>
        <item x="170"/>
        <item x="112"/>
        <item x="128"/>
        <item x="81"/>
        <item x="145"/>
        <item x="174"/>
        <item x="139"/>
        <item x="20"/>
        <item x="84"/>
        <item x="35"/>
        <item x="28"/>
        <item x="8"/>
        <item x="52"/>
        <item x="73"/>
        <item x="168"/>
        <item x="133"/>
        <item x="17"/>
        <item x="3"/>
        <item x="11"/>
        <item x="33"/>
        <item x="142"/>
        <item x="30"/>
        <item x="69"/>
        <item x="108"/>
        <item x="111"/>
        <item x="91"/>
        <item x="25"/>
        <item x="171"/>
        <item x="146"/>
        <item x="85"/>
        <item x="107"/>
        <item x="182"/>
        <item x="143"/>
        <item x="76"/>
        <item x="180"/>
        <item x="2"/>
        <item x="43"/>
        <item x="67"/>
        <item x="86"/>
        <item x="80"/>
        <item x="113"/>
        <item x="1"/>
        <item x="154"/>
        <item x="119"/>
        <item x="12"/>
        <item x="55"/>
        <item x="163"/>
        <item x="50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compact="0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5" subtotal="average" baseField="0" baseItem="0"/>
  </dataFields>
  <formats count="5">
    <format dxfId="4">
      <pivotArea type="all" dataOnly="0" outline="0" fieldPosition="0"/>
    </format>
    <format>
      <pivotArea type="all" dataOnly="0" outline="0" fieldPosition="0"/>
    </format>
    <format dxfId="5">
      <pivotArea field="1" type="button" dataOnly="0" labelOnly="1" outline="0" fieldPosition="0"/>
    </format>
    <format dxfId="6">
      <pivotArea field="1" type="button" dataOnly="0" labelOnly="1" outline="0" fieldPosition="0"/>
    </format>
    <format dxfId="5">
      <pivotArea field="1" type="button" dataOnly="0" labelOnly="1" outline="0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D8" firstHeaderRow="0" firstDataRow="1" firstDataCol="1"/>
  <pivotFields count="13">
    <pivotField compact="0" showAll="0">
      <items count="302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300"/>
        <item t="default"/>
      </items>
    </pivotField>
    <pivotField name="Platform" axis="axisRow" compact="0" multipleItemSelectionAllowed="1" showAll="0">
      <items count="6">
        <item x="2"/>
        <item x="1"/>
        <item x="3"/>
        <item x="0"/>
        <item h="1" x="4"/>
        <item t="default"/>
      </items>
    </pivotField>
    <pivotField compact="0" showAll="0">
      <items count="212">
        <item x="175"/>
        <item x="173"/>
        <item x="71"/>
        <item x="169"/>
        <item x="89"/>
        <item x="67"/>
        <item x="109"/>
        <item x="82"/>
        <item x="48"/>
        <item x="201"/>
        <item x="140"/>
        <item x="156"/>
        <item x="107"/>
        <item x="122"/>
        <item x="185"/>
        <item x="58"/>
        <item x="102"/>
        <item x="194"/>
        <item x="144"/>
        <item x="79"/>
        <item x="22"/>
        <item x="49"/>
        <item x="95"/>
        <item x="123"/>
        <item x="52"/>
        <item x="206"/>
        <item x="171"/>
        <item x="97"/>
        <item x="56"/>
        <item x="18"/>
        <item x="6"/>
        <item x="198"/>
        <item x="80"/>
        <item x="72"/>
        <item x="7"/>
        <item x="119"/>
        <item x="176"/>
        <item x="182"/>
        <item x="11"/>
        <item x="130"/>
        <item x="75"/>
        <item x="62"/>
        <item x="100"/>
        <item x="31"/>
        <item x="99"/>
        <item x="111"/>
        <item x="170"/>
        <item x="85"/>
        <item x="64"/>
        <item x="87"/>
        <item x="143"/>
        <item x="160"/>
        <item x="60"/>
        <item x="17"/>
        <item x="189"/>
        <item x="124"/>
        <item x="133"/>
        <item x="15"/>
        <item x="181"/>
        <item x="8"/>
        <item x="19"/>
        <item x="127"/>
        <item x="77"/>
        <item x="26"/>
        <item x="113"/>
        <item x="88"/>
        <item x="147"/>
        <item x="86"/>
        <item x="76"/>
        <item x="195"/>
        <item x="91"/>
        <item x="74"/>
        <item x="54"/>
        <item x="129"/>
        <item x="188"/>
        <item x="70"/>
        <item x="118"/>
        <item x="168"/>
        <item x="131"/>
        <item x="159"/>
        <item x="180"/>
        <item x="84"/>
        <item x="104"/>
        <item x="204"/>
        <item x="12"/>
        <item x="163"/>
        <item x="101"/>
        <item x="192"/>
        <item x="199"/>
        <item x="116"/>
        <item x="34"/>
        <item x="172"/>
        <item x="3"/>
        <item x="197"/>
        <item x="139"/>
        <item x="30"/>
        <item x="151"/>
        <item x="53"/>
        <item x="128"/>
        <item x="154"/>
        <item x="0"/>
        <item x="209"/>
        <item x="164"/>
        <item x="142"/>
        <item x="126"/>
        <item x="135"/>
        <item x="167"/>
        <item x="115"/>
        <item x="183"/>
        <item x="162"/>
        <item x="177"/>
        <item x="23"/>
        <item x="78"/>
        <item x="57"/>
        <item x="190"/>
        <item x="10"/>
        <item x="43"/>
        <item x="66"/>
        <item x="45"/>
        <item x="117"/>
        <item x="138"/>
        <item x="37"/>
        <item x="166"/>
        <item x="191"/>
        <item x="46"/>
        <item x="29"/>
        <item x="21"/>
        <item x="68"/>
        <item x="184"/>
        <item x="1"/>
        <item x="120"/>
        <item x="51"/>
        <item x="106"/>
        <item x="165"/>
        <item x="200"/>
        <item x="94"/>
        <item x="155"/>
        <item x="121"/>
        <item x="196"/>
        <item x="61"/>
        <item x="63"/>
        <item x="96"/>
        <item x="27"/>
        <item x="4"/>
        <item x="125"/>
        <item x="193"/>
        <item x="55"/>
        <item x="203"/>
        <item x="35"/>
        <item x="141"/>
        <item x="174"/>
        <item x="41"/>
        <item x="25"/>
        <item x="16"/>
        <item x="5"/>
        <item x="132"/>
        <item x="205"/>
        <item x="36"/>
        <item x="114"/>
        <item x="178"/>
        <item x="110"/>
        <item x="207"/>
        <item x="13"/>
        <item x="134"/>
        <item x="108"/>
        <item x="161"/>
        <item x="14"/>
        <item x="137"/>
        <item x="65"/>
        <item x="136"/>
        <item x="20"/>
        <item x="145"/>
        <item x="202"/>
        <item x="24"/>
        <item x="146"/>
        <item x="38"/>
        <item x="39"/>
        <item x="40"/>
        <item x="42"/>
        <item x="44"/>
        <item x="47"/>
        <item x="50"/>
        <item x="59"/>
        <item x="69"/>
        <item x="73"/>
        <item x="81"/>
        <item x="83"/>
        <item x="90"/>
        <item x="92"/>
        <item x="93"/>
        <item x="98"/>
        <item x="103"/>
        <item x="105"/>
        <item x="112"/>
        <item x="186"/>
        <item x="28"/>
        <item x="148"/>
        <item x="152"/>
        <item x="157"/>
        <item x="158"/>
        <item x="153"/>
        <item x="208"/>
        <item x="9"/>
        <item x="32"/>
        <item x="149"/>
        <item x="179"/>
        <item x="187"/>
        <item x="2"/>
        <item x="33"/>
        <item x="150"/>
        <item x="210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13">
        <item x="2"/>
        <item x="3"/>
        <item x="5"/>
        <item x="6"/>
        <item x="0"/>
        <item x="7"/>
        <item x="8"/>
        <item x="1"/>
        <item x="9"/>
        <item x="4"/>
        <item x="10"/>
        <item x="11"/>
        <item t="default"/>
      </items>
    </pivotField>
    <pivotField compact="0" showAll="0">
      <items count="13">
        <item x="10"/>
        <item x="7"/>
        <item x="1"/>
        <item x="5"/>
        <item x="6"/>
        <item x="0"/>
        <item x="2"/>
        <item x="3"/>
        <item x="8"/>
        <item x="9"/>
        <item x="4"/>
        <item x="11"/>
        <item t="default"/>
      </items>
    </pivotField>
    <pivotField dataField="1" compact="0" showAll="0">
      <items count="298">
        <item x="11"/>
        <item x="168"/>
        <item x="254"/>
        <item x="166"/>
        <item x="30"/>
        <item x="31"/>
        <item x="132"/>
        <item x="261"/>
        <item x="14"/>
        <item x="199"/>
        <item x="77"/>
        <item x="294"/>
        <item x="187"/>
        <item x="3"/>
        <item x="234"/>
        <item x="292"/>
        <item x="227"/>
        <item x="277"/>
        <item x="192"/>
        <item x="278"/>
        <item x="48"/>
        <item x="172"/>
        <item x="15"/>
        <item x="288"/>
        <item x="223"/>
        <item x="243"/>
        <item x="1"/>
        <item x="193"/>
        <item x="131"/>
        <item x="57"/>
        <item x="207"/>
        <item x="40"/>
        <item x="232"/>
        <item x="115"/>
        <item x="141"/>
        <item x="19"/>
        <item x="109"/>
        <item x="133"/>
        <item x="271"/>
        <item x="113"/>
        <item x="245"/>
        <item x="64"/>
        <item x="161"/>
        <item x="53"/>
        <item x="177"/>
        <item x="205"/>
        <item x="95"/>
        <item x="80"/>
        <item x="140"/>
        <item x="8"/>
        <item x="42"/>
        <item x="96"/>
        <item x="69"/>
        <item x="100"/>
        <item x="54"/>
        <item x="181"/>
        <item x="13"/>
        <item x="180"/>
        <item x="153"/>
        <item x="291"/>
        <item x="248"/>
        <item x="259"/>
        <item x="112"/>
        <item x="235"/>
        <item x="6"/>
        <item x="196"/>
        <item x="186"/>
        <item x="37"/>
        <item x="47"/>
        <item x="124"/>
        <item x="209"/>
        <item x="202"/>
        <item x="273"/>
        <item x="123"/>
        <item x="119"/>
        <item x="114"/>
        <item x="272"/>
        <item x="206"/>
        <item x="214"/>
        <item x="144"/>
        <item x="267"/>
        <item x="221"/>
        <item x="236"/>
        <item x="176"/>
        <item x="84"/>
        <item x="191"/>
        <item x="22"/>
        <item x="89"/>
        <item x="85"/>
        <item x="21"/>
        <item x="143"/>
        <item x="280"/>
        <item x="78"/>
        <item x="289"/>
        <item x="101"/>
        <item x="59"/>
        <item x="28"/>
        <item x="121"/>
        <item x="211"/>
        <item x="190"/>
        <item x="110"/>
        <item x="218"/>
        <item x="88"/>
        <item x="171"/>
        <item x="195"/>
        <item x="188"/>
        <item x="32"/>
        <item x="212"/>
        <item x="16"/>
        <item x="67"/>
        <item x="129"/>
        <item x="293"/>
        <item x="68"/>
        <item x="250"/>
        <item x="29"/>
        <item x="170"/>
        <item x="253"/>
        <item x="247"/>
        <item x="268"/>
        <item x="86"/>
        <item x="93"/>
        <item x="276"/>
        <item x="210"/>
        <item x="36"/>
        <item x="287"/>
        <item x="128"/>
        <item x="56"/>
        <item x="70"/>
        <item x="10"/>
        <item x="148"/>
        <item x="135"/>
        <item x="228"/>
        <item x="65"/>
        <item x="90"/>
        <item x="198"/>
        <item x="98"/>
        <item x="27"/>
        <item x="62"/>
        <item x="154"/>
        <item x="155"/>
        <item x="151"/>
        <item x="229"/>
        <item x="295"/>
        <item x="239"/>
        <item x="246"/>
        <item x="41"/>
        <item x="262"/>
        <item x="136"/>
        <item x="76"/>
        <item x="208"/>
        <item x="173"/>
        <item x="237"/>
        <item x="125"/>
        <item x="116"/>
        <item x="79"/>
        <item x="219"/>
        <item x="117"/>
        <item x="49"/>
        <item x="157"/>
        <item x="275"/>
        <item x="127"/>
        <item x="5"/>
        <item x="34"/>
        <item x="197"/>
        <item x="55"/>
        <item x="270"/>
        <item x="139"/>
        <item x="217"/>
        <item x="274"/>
        <item x="284"/>
        <item x="169"/>
        <item x="242"/>
        <item x="83"/>
        <item x="258"/>
        <item x="44"/>
        <item x="194"/>
        <item x="17"/>
        <item x="162"/>
        <item x="179"/>
        <item x="263"/>
        <item x="142"/>
        <item x="265"/>
        <item x="24"/>
        <item x="255"/>
        <item x="240"/>
        <item x="251"/>
        <item x="149"/>
        <item x="163"/>
        <item x="231"/>
        <item x="257"/>
        <item x="216"/>
        <item x="111"/>
        <item x="58"/>
        <item x="60"/>
        <item x="18"/>
        <item x="282"/>
        <item x="178"/>
        <item x="38"/>
        <item x="204"/>
        <item x="33"/>
        <item x="122"/>
        <item x="75"/>
        <item x="264"/>
        <item x="45"/>
        <item x="226"/>
        <item x="220"/>
        <item x="174"/>
        <item x="82"/>
        <item x="222"/>
        <item x="150"/>
        <item x="249"/>
        <item x="203"/>
        <item x="102"/>
        <item x="269"/>
        <item x="213"/>
        <item x="61"/>
        <item x="7"/>
        <item x="285"/>
        <item x="175"/>
        <item x="145"/>
        <item x="167"/>
        <item x="134"/>
        <item x="51"/>
        <item x="120"/>
        <item x="63"/>
        <item x="230"/>
        <item x="183"/>
        <item x="2"/>
        <item x="244"/>
        <item x="66"/>
        <item x="164"/>
        <item x="201"/>
        <item x="91"/>
        <item x="39"/>
        <item x="26"/>
        <item x="182"/>
        <item x="233"/>
        <item x="9"/>
        <item x="130"/>
        <item x="118"/>
        <item x="200"/>
        <item x="35"/>
        <item x="281"/>
        <item x="290"/>
        <item x="99"/>
        <item x="146"/>
        <item x="256"/>
        <item x="147"/>
        <item x="224"/>
        <item x="184"/>
        <item x="73"/>
        <item x="106"/>
        <item x="12"/>
        <item x="158"/>
        <item x="97"/>
        <item x="4"/>
        <item x="189"/>
        <item x="74"/>
        <item x="104"/>
        <item x="238"/>
        <item x="107"/>
        <item x="160"/>
        <item x="241"/>
        <item x="283"/>
        <item x="20"/>
        <item x="25"/>
        <item x="159"/>
        <item x="43"/>
        <item x="215"/>
        <item x="279"/>
        <item x="92"/>
        <item x="260"/>
        <item x="81"/>
        <item x="72"/>
        <item x="50"/>
        <item x="23"/>
        <item x="94"/>
        <item x="137"/>
        <item x="225"/>
        <item x="105"/>
        <item x="52"/>
        <item x="138"/>
        <item x="165"/>
        <item x="252"/>
        <item x="108"/>
        <item x="126"/>
        <item x="286"/>
        <item x="0"/>
        <item x="152"/>
        <item x="87"/>
        <item x="266"/>
        <item x="103"/>
        <item x="156"/>
        <item x="185"/>
        <item x="71"/>
        <item x="46"/>
        <item x="296"/>
        <item t="default"/>
      </items>
    </pivotField>
    <pivotField dataField="1" compact="0" showAll="0">
      <items count="273">
        <item x="257"/>
        <item x="17"/>
        <item x="215"/>
        <item x="83"/>
        <item x="71"/>
        <item x="173"/>
        <item x="87"/>
        <item x="139"/>
        <item x="270"/>
        <item x="259"/>
        <item x="167"/>
        <item x="266"/>
        <item x="265"/>
        <item x="264"/>
        <item x="74"/>
        <item x="109"/>
        <item x="188"/>
        <item x="244"/>
        <item x="145"/>
        <item x="82"/>
        <item x="128"/>
        <item x="19"/>
        <item x="223"/>
        <item x="191"/>
        <item x="24"/>
        <item x="78"/>
        <item x="202"/>
        <item x="40"/>
        <item x="182"/>
        <item x="124"/>
        <item x="104"/>
        <item x="245"/>
        <item x="77"/>
        <item x="21"/>
        <item x="93"/>
        <item x="32"/>
        <item x="35"/>
        <item x="220"/>
        <item x="155"/>
        <item x="218"/>
        <item x="149"/>
        <item x="52"/>
        <item x="190"/>
        <item x="208"/>
        <item x="143"/>
        <item x="209"/>
        <item x="178"/>
        <item x="60"/>
        <item x="42"/>
        <item x="122"/>
        <item x="163"/>
        <item x="69"/>
        <item x="92"/>
        <item x="68"/>
        <item x="4"/>
        <item x="253"/>
        <item x="126"/>
        <item x="231"/>
        <item x="13"/>
        <item x="144"/>
        <item x="170"/>
        <item x="58"/>
        <item x="26"/>
        <item x="89"/>
        <item x="123"/>
        <item x="3"/>
        <item x="75"/>
        <item x="160"/>
        <item x="197"/>
        <item x="216"/>
        <item x="5"/>
        <item x="156"/>
        <item x="88"/>
        <item x="132"/>
        <item x="100"/>
        <item x="90"/>
        <item x="118"/>
        <item x="6"/>
        <item x="129"/>
        <item x="44"/>
        <item x="91"/>
        <item x="25"/>
        <item x="131"/>
        <item x="51"/>
        <item x="29"/>
        <item x="169"/>
        <item x="164"/>
        <item x="258"/>
        <item x="196"/>
        <item x="207"/>
        <item x="210"/>
        <item x="229"/>
        <item x="130"/>
        <item x="157"/>
        <item x="48"/>
        <item x="206"/>
        <item x="256"/>
        <item x="179"/>
        <item x="38"/>
        <item x="9"/>
        <item x="224"/>
        <item x="62"/>
        <item x="251"/>
        <item x="250"/>
        <item x="127"/>
        <item x="53"/>
        <item x="252"/>
        <item x="46"/>
        <item x="159"/>
        <item x="117"/>
        <item x="20"/>
        <item x="31"/>
        <item x="43"/>
        <item x="8"/>
        <item x="175"/>
        <item x="240"/>
        <item x="61"/>
        <item x="22"/>
        <item x="107"/>
        <item x="261"/>
        <item x="27"/>
        <item x="79"/>
        <item x="243"/>
        <item x="133"/>
        <item x="120"/>
        <item x="147"/>
        <item x="138"/>
        <item x="34"/>
        <item x="148"/>
        <item x="168"/>
        <item x="98"/>
        <item x="154"/>
        <item x="222"/>
        <item x="228"/>
        <item x="225"/>
        <item x="141"/>
        <item x="86"/>
        <item x="241"/>
        <item x="247"/>
        <item x="166"/>
        <item x="15"/>
        <item x="212"/>
        <item x="246"/>
        <item x="226"/>
        <item x="80"/>
        <item x="195"/>
        <item x="199"/>
        <item x="137"/>
        <item x="174"/>
        <item x="217"/>
        <item x="0"/>
        <item x="189"/>
        <item x="111"/>
        <item x="81"/>
        <item x="14"/>
        <item x="28"/>
        <item x="232"/>
        <item x="65"/>
        <item x="112"/>
        <item x="67"/>
        <item x="39"/>
        <item x="213"/>
        <item x="115"/>
        <item x="97"/>
        <item x="185"/>
        <item x="194"/>
        <item x="262"/>
        <item x="76"/>
        <item x="152"/>
        <item x="18"/>
        <item x="239"/>
        <item x="63"/>
        <item x="84"/>
        <item x="11"/>
        <item x="136"/>
        <item x="103"/>
        <item x="235"/>
        <item x="211"/>
        <item x="1"/>
        <item x="221"/>
        <item x="10"/>
        <item x="50"/>
        <item x="187"/>
        <item x="233"/>
        <item x="119"/>
        <item x="125"/>
        <item x="134"/>
        <item x="238"/>
        <item x="214"/>
        <item x="184"/>
        <item x="70"/>
        <item x="57"/>
        <item x="165"/>
        <item x="135"/>
        <item x="94"/>
        <item x="151"/>
        <item x="121"/>
        <item x="114"/>
        <item x="96"/>
        <item x="180"/>
        <item x="162"/>
        <item x="33"/>
        <item x="56"/>
        <item x="269"/>
        <item x="146"/>
        <item x="99"/>
        <item x="37"/>
        <item x="101"/>
        <item x="106"/>
        <item x="177"/>
        <item x="108"/>
        <item x="55"/>
        <item x="227"/>
        <item x="116"/>
        <item x="193"/>
        <item x="47"/>
        <item x="267"/>
        <item x="172"/>
        <item x="30"/>
        <item x="110"/>
        <item x="41"/>
        <item x="23"/>
        <item x="150"/>
        <item x="201"/>
        <item x="237"/>
        <item x="198"/>
        <item x="158"/>
        <item x="204"/>
        <item x="153"/>
        <item x="219"/>
        <item x="203"/>
        <item x="2"/>
        <item x="54"/>
        <item x="105"/>
        <item x="260"/>
        <item x="181"/>
        <item x="248"/>
        <item x="64"/>
        <item x="230"/>
        <item x="205"/>
        <item x="102"/>
        <item x="85"/>
        <item x="7"/>
        <item x="161"/>
        <item x="171"/>
        <item x="263"/>
        <item x="268"/>
        <item x="72"/>
        <item x="242"/>
        <item x="66"/>
        <item x="142"/>
        <item x="16"/>
        <item x="176"/>
        <item x="192"/>
        <item x="45"/>
        <item x="140"/>
        <item x="113"/>
        <item x="254"/>
        <item x="249"/>
        <item x="95"/>
        <item x="183"/>
        <item x="36"/>
        <item x="236"/>
        <item x="12"/>
        <item x="49"/>
        <item x="255"/>
        <item x="200"/>
        <item x="59"/>
        <item x="234"/>
        <item x="73"/>
        <item x="186"/>
        <item x="271"/>
        <item t="default"/>
      </items>
    </pivotField>
    <pivotField dataField="1" compact="0" showAll="0">
      <items count="248">
        <item x="181"/>
        <item x="30"/>
        <item x="93"/>
        <item x="116"/>
        <item x="66"/>
        <item x="220"/>
        <item x="72"/>
        <item x="26"/>
        <item x="245"/>
        <item x="73"/>
        <item x="241"/>
        <item x="71"/>
        <item x="86"/>
        <item x="113"/>
        <item x="217"/>
        <item x="40"/>
        <item x="69"/>
        <item x="198"/>
        <item x="45"/>
        <item x="64"/>
        <item x="100"/>
        <item x="118"/>
        <item x="108"/>
        <item x="39"/>
        <item x="219"/>
        <item x="82"/>
        <item x="209"/>
        <item x="78"/>
        <item x="33"/>
        <item x="227"/>
        <item x="244"/>
        <item x="17"/>
        <item x="75"/>
        <item x="125"/>
        <item x="194"/>
        <item x="163"/>
        <item x="183"/>
        <item x="225"/>
        <item x="187"/>
        <item x="51"/>
        <item x="27"/>
        <item x="140"/>
        <item x="201"/>
        <item x="61"/>
        <item x="139"/>
        <item x="226"/>
        <item x="153"/>
        <item x="4"/>
        <item x="157"/>
        <item x="145"/>
        <item x="79"/>
        <item x="146"/>
        <item x="34"/>
        <item x="142"/>
        <item x="237"/>
        <item x="105"/>
        <item x="60"/>
        <item x="96"/>
        <item x="68"/>
        <item x="210"/>
        <item x="131"/>
        <item x="200"/>
        <item x="37"/>
        <item x="77"/>
        <item x="173"/>
        <item x="207"/>
        <item x="54"/>
        <item x="168"/>
        <item x="119"/>
        <item x="160"/>
        <item x="213"/>
        <item x="242"/>
        <item x="175"/>
        <item x="231"/>
        <item x="6"/>
        <item x="171"/>
        <item x="137"/>
        <item x="164"/>
        <item x="84"/>
        <item x="1"/>
        <item x="114"/>
        <item x="47"/>
        <item x="23"/>
        <item x="188"/>
        <item x="29"/>
        <item x="197"/>
        <item x="38"/>
        <item x="156"/>
        <item x="46"/>
        <item x="94"/>
        <item x="196"/>
        <item x="233"/>
        <item x="186"/>
        <item x="228"/>
        <item x="88"/>
        <item x="239"/>
        <item x="122"/>
        <item x="97"/>
        <item x="177"/>
        <item x="193"/>
        <item x="150"/>
        <item x="230"/>
        <item x="176"/>
        <item x="19"/>
        <item x="147"/>
        <item x="58"/>
        <item x="208"/>
        <item x="24"/>
        <item x="132"/>
        <item x="103"/>
        <item x="184"/>
        <item x="174"/>
        <item x="195"/>
        <item x="178"/>
        <item x="120"/>
        <item x="243"/>
        <item x="151"/>
        <item x="192"/>
        <item x="11"/>
        <item x="133"/>
        <item x="44"/>
        <item x="159"/>
        <item x="165"/>
        <item x="222"/>
        <item x="155"/>
        <item x="182"/>
        <item x="190"/>
        <item x="80"/>
        <item x="172"/>
        <item x="134"/>
        <item x="62"/>
        <item x="9"/>
        <item x="240"/>
        <item x="107"/>
        <item x="52"/>
        <item x="12"/>
        <item x="129"/>
        <item x="81"/>
        <item x="59"/>
        <item x="102"/>
        <item x="111"/>
        <item x="135"/>
        <item x="55"/>
        <item x="154"/>
        <item x="91"/>
        <item x="76"/>
        <item x="63"/>
        <item x="212"/>
        <item x="57"/>
        <item x="31"/>
        <item x="149"/>
        <item x="215"/>
        <item x="124"/>
        <item x="218"/>
        <item x="83"/>
        <item x="138"/>
        <item x="148"/>
        <item x="106"/>
        <item x="112"/>
        <item x="235"/>
        <item x="158"/>
        <item x="49"/>
        <item x="15"/>
        <item x="202"/>
        <item x="89"/>
        <item x="110"/>
        <item x="221"/>
        <item x="206"/>
        <item x="16"/>
        <item x="179"/>
        <item x="229"/>
        <item x="204"/>
        <item x="191"/>
        <item x="95"/>
        <item x="130"/>
        <item x="166"/>
        <item x="5"/>
        <item x="85"/>
        <item x="136"/>
        <item x="70"/>
        <item x="232"/>
        <item x="141"/>
        <item x="41"/>
        <item x="123"/>
        <item x="14"/>
        <item x="234"/>
        <item x="67"/>
        <item x="2"/>
        <item x="236"/>
        <item x="109"/>
        <item x="205"/>
        <item x="99"/>
        <item x="42"/>
        <item x="189"/>
        <item x="185"/>
        <item x="32"/>
        <item x="10"/>
        <item x="126"/>
        <item x="180"/>
        <item x="223"/>
        <item x="22"/>
        <item x="170"/>
        <item x="13"/>
        <item x="20"/>
        <item x="104"/>
        <item x="117"/>
        <item x="65"/>
        <item x="152"/>
        <item x="101"/>
        <item x="3"/>
        <item x="238"/>
        <item x="53"/>
        <item x="36"/>
        <item x="169"/>
        <item x="7"/>
        <item x="50"/>
        <item x="211"/>
        <item x="43"/>
        <item x="161"/>
        <item x="48"/>
        <item x="203"/>
        <item x="216"/>
        <item x="214"/>
        <item x="98"/>
        <item x="115"/>
        <item x="28"/>
        <item x="162"/>
        <item x="121"/>
        <item x="25"/>
        <item x="74"/>
        <item x="144"/>
        <item x="35"/>
        <item x="143"/>
        <item x="167"/>
        <item x="92"/>
        <item x="87"/>
        <item x="21"/>
        <item x="8"/>
        <item x="18"/>
        <item x="90"/>
        <item x="0"/>
        <item x="128"/>
        <item x="127"/>
        <item x="199"/>
        <item x="56"/>
        <item x="224"/>
        <item x="246"/>
        <item t="default"/>
      </items>
    </pivotField>
    <pivotField compact="0" showAll="0">
      <items count="283">
        <item x="201"/>
        <item x="240"/>
        <item x="122"/>
        <item x="89"/>
        <item x="103"/>
        <item x="259"/>
        <item x="6"/>
        <item x="114"/>
        <item x="174"/>
        <item x="125"/>
        <item x="208"/>
        <item x="186"/>
        <item x="211"/>
        <item x="229"/>
        <item x="168"/>
        <item x="210"/>
        <item x="268"/>
        <item x="181"/>
        <item x="36"/>
        <item x="233"/>
        <item x="189"/>
        <item x="25"/>
        <item x="200"/>
        <item x="230"/>
        <item x="175"/>
        <item x="77"/>
        <item x="95"/>
        <item x="53"/>
        <item x="251"/>
        <item x="255"/>
        <item x="216"/>
        <item x="14"/>
        <item x="178"/>
        <item x="151"/>
        <item x="264"/>
        <item x="35"/>
        <item x="61"/>
        <item x="31"/>
        <item x="156"/>
        <item x="172"/>
        <item x="272"/>
        <item x="235"/>
        <item x="45"/>
        <item x="212"/>
        <item x="260"/>
        <item x="62"/>
        <item x="5"/>
        <item x="232"/>
        <item x="90"/>
        <item x="80"/>
        <item x="237"/>
        <item x="111"/>
        <item x="144"/>
        <item x="163"/>
        <item x="157"/>
        <item x="254"/>
        <item x="223"/>
        <item x="41"/>
        <item x="107"/>
        <item x="72"/>
        <item x="171"/>
        <item x="69"/>
        <item x="50"/>
        <item x="145"/>
        <item x="194"/>
        <item x="10"/>
        <item x="180"/>
        <item x="278"/>
        <item x="218"/>
        <item x="253"/>
        <item x="64"/>
        <item x="246"/>
        <item x="94"/>
        <item x="154"/>
        <item x="249"/>
        <item x="38"/>
        <item x="93"/>
        <item x="197"/>
        <item x="96"/>
        <item x="184"/>
        <item x="82"/>
        <item x="110"/>
        <item x="245"/>
        <item x="258"/>
        <item x="97"/>
        <item x="188"/>
        <item x="134"/>
        <item x="133"/>
        <item x="8"/>
        <item x="238"/>
        <item x="42"/>
        <item x="124"/>
        <item x="239"/>
        <item x="88"/>
        <item x="115"/>
        <item x="236"/>
        <item x="234"/>
        <item x="265"/>
        <item x="104"/>
        <item x="4"/>
        <item x="86"/>
        <item x="130"/>
        <item x="198"/>
        <item x="99"/>
        <item x="275"/>
        <item x="270"/>
        <item x="152"/>
        <item x="241"/>
        <item x="9"/>
        <item x="120"/>
        <item x="142"/>
        <item x="76"/>
        <item x="70"/>
        <item x="65"/>
        <item x="166"/>
        <item x="165"/>
        <item x="102"/>
        <item x="84"/>
        <item x="146"/>
        <item x="43"/>
        <item x="256"/>
        <item x="140"/>
        <item x="173"/>
        <item x="117"/>
        <item x="227"/>
        <item x="196"/>
        <item x="190"/>
        <item x="58"/>
        <item x="11"/>
        <item x="34"/>
        <item x="2"/>
        <item x="78"/>
        <item x="263"/>
        <item x="74"/>
        <item x="55"/>
        <item x="98"/>
        <item x="59"/>
        <item x="160"/>
        <item x="81"/>
        <item x="244"/>
        <item x="280"/>
        <item x="1"/>
        <item x="24"/>
        <item x="224"/>
        <item x="136"/>
        <item x="23"/>
        <item x="12"/>
        <item x="213"/>
        <item x="195"/>
        <item x="228"/>
        <item x="177"/>
        <item x="17"/>
        <item x="66"/>
        <item x="266"/>
        <item x="170"/>
        <item x="273"/>
        <item x="179"/>
        <item x="128"/>
        <item x="187"/>
        <item x="71"/>
        <item x="222"/>
        <item x="109"/>
        <item x="129"/>
        <item x="52"/>
        <item x="56"/>
        <item x="155"/>
        <item x="243"/>
        <item x="121"/>
        <item x="182"/>
        <item x="47"/>
        <item x="191"/>
        <item x="18"/>
        <item x="139"/>
        <item x="3"/>
        <item x="143"/>
        <item x="126"/>
        <item x="57"/>
        <item x="193"/>
        <item x="164"/>
        <item x="30"/>
        <item x="147"/>
        <item x="119"/>
        <item x="7"/>
        <item x="277"/>
        <item x="225"/>
        <item x="33"/>
        <item x="257"/>
        <item x="267"/>
        <item x="162"/>
        <item x="203"/>
        <item x="22"/>
        <item x="135"/>
        <item x="118"/>
        <item x="132"/>
        <item x="161"/>
        <item x="226"/>
        <item x="79"/>
        <item x="19"/>
        <item x="214"/>
        <item x="219"/>
        <item x="247"/>
        <item x="204"/>
        <item x="199"/>
        <item x="153"/>
        <item x="127"/>
        <item x="269"/>
        <item x="131"/>
        <item x="262"/>
        <item x="54"/>
        <item x="217"/>
        <item x="252"/>
        <item x="215"/>
        <item x="21"/>
        <item x="112"/>
        <item x="108"/>
        <item x="51"/>
        <item x="176"/>
        <item x="148"/>
        <item x="185"/>
        <item x="39"/>
        <item x="220"/>
        <item x="183"/>
        <item x="60"/>
        <item x="271"/>
        <item x="75"/>
        <item x="20"/>
        <item x="105"/>
        <item x="48"/>
        <item x="242"/>
        <item x="27"/>
        <item x="261"/>
        <item x="16"/>
        <item x="206"/>
        <item x="209"/>
        <item x="40"/>
        <item x="276"/>
        <item x="116"/>
        <item x="83"/>
        <item x="207"/>
        <item x="149"/>
        <item x="158"/>
        <item x="138"/>
        <item x="91"/>
        <item x="221"/>
        <item x="13"/>
        <item x="202"/>
        <item x="250"/>
        <item x="123"/>
        <item x="92"/>
        <item x="248"/>
        <item x="0"/>
        <item x="73"/>
        <item x="26"/>
        <item x="15"/>
        <item x="28"/>
        <item x="49"/>
        <item x="46"/>
        <item x="63"/>
        <item x="100"/>
        <item x="231"/>
        <item x="169"/>
        <item x="150"/>
        <item x="113"/>
        <item x="87"/>
        <item x="68"/>
        <item x="279"/>
        <item x="37"/>
        <item x="141"/>
        <item x="159"/>
        <item x="106"/>
        <item x="101"/>
        <item x="67"/>
        <item x="137"/>
        <item x="167"/>
        <item x="85"/>
        <item x="274"/>
        <item x="44"/>
        <item x="32"/>
        <item x="29"/>
        <item x="192"/>
        <item x="205"/>
        <item x="281"/>
        <item t="default"/>
      </items>
    </pivotField>
    <pivotField compact="0" showAll="0">
      <items count="300">
        <item x="59"/>
        <item x="217"/>
        <item x="140"/>
        <item x="55"/>
        <item x="261"/>
        <item x="175"/>
        <item x="172"/>
        <item x="229"/>
        <item x="63"/>
        <item x="28"/>
        <item x="207"/>
        <item x="256"/>
        <item x="67"/>
        <item x="50"/>
        <item x="221"/>
        <item x="211"/>
        <item x="102"/>
        <item x="135"/>
        <item x="245"/>
        <item x="118"/>
        <item x="180"/>
        <item x="224"/>
        <item x="121"/>
        <item x="85"/>
        <item x="99"/>
        <item x="69"/>
        <item x="243"/>
        <item x="216"/>
        <item x="150"/>
        <item x="25"/>
        <item x="284"/>
        <item x="151"/>
        <item x="38"/>
        <item x="178"/>
        <item x="117"/>
        <item x="223"/>
        <item x="90"/>
        <item x="74"/>
        <item x="43"/>
        <item x="273"/>
        <item x="195"/>
        <item x="116"/>
        <item x="259"/>
        <item x="281"/>
        <item x="80"/>
        <item x="49"/>
        <item x="294"/>
        <item x="201"/>
        <item x="262"/>
        <item x="39"/>
        <item x="192"/>
        <item x="57"/>
        <item x="163"/>
        <item x="233"/>
        <item x="289"/>
        <item x="156"/>
        <item x="260"/>
        <item x="40"/>
        <item x="26"/>
        <item x="208"/>
        <item x="29"/>
        <item x="84"/>
        <item x="189"/>
        <item x="79"/>
        <item x="203"/>
        <item x="52"/>
        <item x="246"/>
        <item x="198"/>
        <item x="215"/>
        <item x="134"/>
        <item x="86"/>
        <item x="73"/>
        <item x="65"/>
        <item x="170"/>
        <item x="292"/>
        <item x="16"/>
        <item x="30"/>
        <item x="237"/>
        <item x="249"/>
        <item x="71"/>
        <item x="126"/>
        <item x="272"/>
        <item x="109"/>
        <item x="91"/>
        <item x="143"/>
        <item x="137"/>
        <item x="168"/>
        <item x="51"/>
        <item x="279"/>
        <item x="138"/>
        <item x="3"/>
        <item x="157"/>
        <item x="75"/>
        <item x="193"/>
        <item x="78"/>
        <item x="93"/>
        <item x="283"/>
        <item x="62"/>
        <item x="114"/>
        <item x="236"/>
        <item x="228"/>
        <item x="274"/>
        <item x="268"/>
        <item x="44"/>
        <item x="129"/>
        <item x="72"/>
        <item x="251"/>
        <item x="11"/>
        <item x="47"/>
        <item x="133"/>
        <item x="255"/>
        <item x="120"/>
        <item x="160"/>
        <item x="248"/>
        <item x="266"/>
        <item x="155"/>
        <item x="162"/>
        <item x="296"/>
        <item x="241"/>
        <item x="152"/>
        <item x="10"/>
        <item x="0"/>
        <item x="34"/>
        <item x="231"/>
        <item x="97"/>
        <item x="19"/>
        <item x="88"/>
        <item x="145"/>
        <item x="9"/>
        <item x="95"/>
        <item x="82"/>
        <item x="66"/>
        <item x="106"/>
        <item x="113"/>
        <item x="219"/>
        <item x="144"/>
        <item x="184"/>
        <item x="125"/>
        <item x="46"/>
        <item x="35"/>
        <item x="239"/>
        <item x="290"/>
        <item x="291"/>
        <item x="149"/>
        <item x="53"/>
        <item x="31"/>
        <item x="238"/>
        <item x="199"/>
        <item x="213"/>
        <item x="56"/>
        <item x="171"/>
        <item x="68"/>
        <item x="218"/>
        <item x="181"/>
        <item x="20"/>
        <item x="101"/>
        <item x="136"/>
        <item x="24"/>
        <item x="146"/>
        <item x="32"/>
        <item x="204"/>
        <item x="166"/>
        <item x="12"/>
        <item x="122"/>
        <item x="81"/>
        <item x="232"/>
        <item x="41"/>
        <item x="196"/>
        <item x="244"/>
        <item x="148"/>
        <item x="287"/>
        <item x="282"/>
        <item x="15"/>
        <item x="45"/>
        <item x="130"/>
        <item x="252"/>
        <item x="142"/>
        <item x="48"/>
        <item x="230"/>
        <item x="127"/>
        <item x="89"/>
        <item x="37"/>
        <item x="209"/>
        <item x="107"/>
        <item x="139"/>
        <item x="187"/>
        <item x="161"/>
        <item x="269"/>
        <item x="270"/>
        <item x="76"/>
        <item x="77"/>
        <item x="111"/>
        <item x="100"/>
        <item x="253"/>
        <item x="108"/>
        <item x="185"/>
        <item x="242"/>
        <item x="23"/>
        <item x="112"/>
        <item x="226"/>
        <item x="61"/>
        <item x="165"/>
        <item x="6"/>
        <item x="174"/>
        <item x="128"/>
        <item x="58"/>
        <item x="153"/>
        <item x="286"/>
        <item x="110"/>
        <item x="206"/>
        <item x="205"/>
        <item x="54"/>
        <item x="123"/>
        <item x="202"/>
        <item x="210"/>
        <item x="159"/>
        <item x="154"/>
        <item x="177"/>
        <item x="254"/>
        <item x="275"/>
        <item x="182"/>
        <item x="263"/>
        <item x="240"/>
        <item x="42"/>
        <item x="158"/>
        <item x="227"/>
        <item x="179"/>
        <item x="169"/>
        <item x="105"/>
        <item x="2"/>
        <item x="250"/>
        <item x="190"/>
        <item x="271"/>
        <item x="14"/>
        <item x="119"/>
        <item x="27"/>
        <item x="183"/>
        <item x="13"/>
        <item x="131"/>
        <item x="188"/>
        <item x="278"/>
        <item x="7"/>
        <item x="164"/>
        <item x="92"/>
        <item x="83"/>
        <item x="293"/>
        <item x="22"/>
        <item x="265"/>
        <item x="267"/>
        <item x="186"/>
        <item x="36"/>
        <item x="220"/>
        <item x="257"/>
        <item x="191"/>
        <item x="94"/>
        <item x="5"/>
        <item x="297"/>
        <item x="176"/>
        <item x="277"/>
        <item x="280"/>
        <item x="124"/>
        <item x="264"/>
        <item x="21"/>
        <item x="96"/>
        <item x="33"/>
        <item x="115"/>
        <item x="167"/>
        <item x="247"/>
        <item x="87"/>
        <item x="103"/>
        <item x="288"/>
        <item x="197"/>
        <item x="4"/>
        <item x="234"/>
        <item x="200"/>
        <item x="8"/>
        <item x="225"/>
        <item x="258"/>
        <item x="18"/>
        <item x="235"/>
        <item x="98"/>
        <item x="132"/>
        <item x="173"/>
        <item x="17"/>
        <item x="1"/>
        <item x="70"/>
        <item x="212"/>
        <item x="64"/>
        <item x="194"/>
        <item x="285"/>
        <item x="147"/>
        <item x="295"/>
        <item x="222"/>
        <item x="60"/>
        <item x="104"/>
        <item x="214"/>
        <item x="141"/>
        <item x="276"/>
        <item x="298"/>
        <item t="default"/>
      </items>
    </pivotField>
    <pivotField compact="0" showAll="0">
      <items count="302">
        <item x="96"/>
        <item x="227"/>
        <item x="131"/>
        <item x="286"/>
        <item x="195"/>
        <item x="200"/>
        <item x="186"/>
        <item x="173"/>
        <item x="223"/>
        <item x="120"/>
        <item x="262"/>
        <item x="168"/>
        <item x="122"/>
        <item x="81"/>
        <item x="135"/>
        <item x="124"/>
        <item x="295"/>
        <item x="275"/>
        <item x="139"/>
        <item x="79"/>
        <item x="193"/>
        <item x="12"/>
        <item x="287"/>
        <item x="163"/>
        <item x="67"/>
        <item x="22"/>
        <item x="230"/>
        <item x="222"/>
        <item x="126"/>
        <item x="150"/>
        <item x="243"/>
        <item x="219"/>
        <item x="6"/>
        <item x="82"/>
        <item x="31"/>
        <item x="5"/>
        <item x="202"/>
        <item x="149"/>
        <item x="184"/>
        <item x="11"/>
        <item x="225"/>
        <item x="1"/>
        <item x="128"/>
        <item x="229"/>
        <item x="30"/>
        <item x="60"/>
        <item x="105"/>
        <item x="90"/>
        <item x="41"/>
        <item x="207"/>
        <item x="75"/>
        <item x="169"/>
        <item x="188"/>
        <item x="151"/>
        <item x="253"/>
        <item x="125"/>
        <item x="249"/>
        <item x="14"/>
        <item x="4"/>
        <item x="132"/>
        <item x="59"/>
        <item x="113"/>
        <item x="255"/>
        <item x="45"/>
        <item x="259"/>
        <item x="236"/>
        <item x="162"/>
        <item x="143"/>
        <item x="288"/>
        <item x="154"/>
        <item x="199"/>
        <item x="232"/>
        <item x="157"/>
        <item x="76"/>
        <item x="250"/>
        <item x="118"/>
        <item x="20"/>
        <item x="263"/>
        <item x="247"/>
        <item x="297"/>
        <item x="115"/>
        <item x="48"/>
        <item x="54"/>
        <item x="215"/>
        <item x="285"/>
        <item x="245"/>
        <item x="104"/>
        <item x="32"/>
        <item x="50"/>
        <item x="185"/>
        <item x="49"/>
        <item x="121"/>
        <item x="299"/>
        <item x="73"/>
        <item x="284"/>
        <item x="189"/>
        <item x="237"/>
        <item x="100"/>
        <item x="62"/>
        <item x="65"/>
        <item x="220"/>
        <item x="241"/>
        <item x="161"/>
        <item x="123"/>
        <item x="70"/>
        <item x="83"/>
        <item x="214"/>
        <item x="92"/>
        <item x="231"/>
        <item x="61"/>
        <item x="85"/>
        <item x="19"/>
        <item x="279"/>
        <item x="53"/>
        <item x="15"/>
        <item x="248"/>
        <item x="147"/>
        <item x="28"/>
        <item x="201"/>
        <item x="114"/>
        <item x="95"/>
        <item x="198"/>
        <item x="80"/>
        <item x="211"/>
        <item x="264"/>
        <item x="38"/>
        <item x="212"/>
        <item x="190"/>
        <item x="39"/>
        <item x="191"/>
        <item x="296"/>
        <item x="204"/>
        <item x="159"/>
        <item x="43"/>
        <item x="46"/>
        <item x="171"/>
        <item x="194"/>
        <item x="209"/>
        <item x="127"/>
        <item x="138"/>
        <item x="221"/>
        <item x="74"/>
        <item x="294"/>
        <item x="274"/>
        <item x="72"/>
        <item x="216"/>
        <item x="167"/>
        <item x="254"/>
        <item x="153"/>
        <item x="142"/>
        <item x="176"/>
        <item x="66"/>
        <item x="280"/>
        <item x="183"/>
        <item x="271"/>
        <item x="197"/>
        <item x="84"/>
        <item x="57"/>
        <item x="179"/>
        <item x="107"/>
        <item x="291"/>
        <item x="293"/>
        <item x="117"/>
        <item x="64"/>
        <item x="56"/>
        <item x="134"/>
        <item x="270"/>
        <item x="136"/>
        <item x="141"/>
        <item x="8"/>
        <item x="146"/>
        <item x="47"/>
        <item x="34"/>
        <item x="18"/>
        <item x="112"/>
        <item x="203"/>
        <item x="16"/>
        <item x="130"/>
        <item x="251"/>
        <item x="88"/>
        <item x="99"/>
        <item x="110"/>
        <item x="196"/>
        <item x="133"/>
        <item x="35"/>
        <item x="228"/>
        <item x="260"/>
        <item x="69"/>
        <item x="290"/>
        <item x="119"/>
        <item x="252"/>
        <item x="210"/>
        <item x="205"/>
        <item x="103"/>
        <item x="233"/>
        <item x="26"/>
        <item x="235"/>
        <item x="10"/>
        <item x="55"/>
        <item x="268"/>
        <item x="51"/>
        <item x="116"/>
        <item x="145"/>
        <item x="172"/>
        <item x="87"/>
        <item x="91"/>
        <item x="298"/>
        <item x="52"/>
        <item x="2"/>
        <item x="213"/>
        <item x="278"/>
        <item x="137"/>
        <item x="24"/>
        <item x="71"/>
        <item x="292"/>
        <item x="192"/>
        <item x="106"/>
        <item x="182"/>
        <item x="23"/>
        <item x="238"/>
        <item x="166"/>
        <item x="240"/>
        <item x="178"/>
        <item x="97"/>
        <item x="21"/>
        <item x="234"/>
        <item x="101"/>
        <item x="283"/>
        <item x="102"/>
        <item x="158"/>
        <item x="269"/>
        <item x="208"/>
        <item x="0"/>
        <item x="160"/>
        <item x="244"/>
        <item x="109"/>
        <item x="36"/>
        <item x="224"/>
        <item x="265"/>
        <item x="156"/>
        <item x="140"/>
        <item x="257"/>
        <item x="98"/>
        <item x="181"/>
        <item x="108"/>
        <item x="68"/>
        <item x="164"/>
        <item x="266"/>
        <item x="155"/>
        <item x="277"/>
        <item x="281"/>
        <item x="33"/>
        <item x="276"/>
        <item x="13"/>
        <item x="9"/>
        <item x="258"/>
        <item x="42"/>
        <item x="144"/>
        <item x="94"/>
        <item x="17"/>
        <item x="282"/>
        <item x="29"/>
        <item x="89"/>
        <item x="261"/>
        <item x="37"/>
        <item x="77"/>
        <item x="58"/>
        <item x="272"/>
        <item x="148"/>
        <item x="242"/>
        <item x="239"/>
        <item x="218"/>
        <item x="174"/>
        <item x="273"/>
        <item x="226"/>
        <item x="187"/>
        <item x="111"/>
        <item x="152"/>
        <item x="180"/>
        <item x="27"/>
        <item x="93"/>
        <item x="86"/>
        <item x="44"/>
        <item x="170"/>
        <item x="246"/>
        <item x="40"/>
        <item x="63"/>
        <item x="78"/>
        <item x="267"/>
        <item x="177"/>
        <item x="175"/>
        <item x="289"/>
        <item x="7"/>
        <item x="217"/>
        <item x="3"/>
        <item x="206"/>
        <item x="129"/>
        <item x="25"/>
        <item x="256"/>
        <item x="165"/>
        <item x="300"/>
        <item t="default"/>
      </items>
    </pivotField>
    <pivotField compact="0" showAll="0">
      <items count="7">
        <item x="1"/>
        <item x="0"/>
        <item x="3"/>
        <item x="4"/>
        <item x="2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ments" fld="8" baseField="0" baseItem="0"/>
    <dataField name="Sum of Shares" fld="7" baseField="0" baseItem="0"/>
    <dataField name="Sum of Likes" fld="6" baseField="0" baseItem="0"/>
  </dataFields>
  <formats count="3">
    <format dxfId="4">
      <pivotArea type="all" dataOnly="0" outline="0" fieldPosition="0"/>
    </format>
    <format>
      <pivotArea type="all" dataOnly="0" outline="0" fieldPosition="0"/>
    </format>
    <format dxfId="7">
      <pivotArea collapsedLevelsAreSubtotals="1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4:C19" firstHeaderRow="0" firstDataRow="1" firstDataCol="1"/>
  <pivotFields count="7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198">
        <item x="111"/>
        <item x="190"/>
        <item x="130"/>
        <item x="144"/>
        <item x="92"/>
        <item x="195"/>
        <item x="146"/>
        <item x="113"/>
        <item x="64"/>
        <item x="177"/>
        <item x="27"/>
        <item x="116"/>
        <item x="104"/>
        <item x="91"/>
        <item x="186"/>
        <item x="48"/>
        <item x="70"/>
        <item x="172"/>
        <item x="126"/>
        <item x="173"/>
        <item x="32"/>
        <item x="26"/>
        <item x="21"/>
        <item x="53"/>
        <item x="156"/>
        <item x="192"/>
        <item x="61"/>
        <item x="62"/>
        <item x="72"/>
        <item x="58"/>
        <item x="143"/>
        <item x="161"/>
        <item x="38"/>
        <item x="19"/>
        <item x="71"/>
        <item x="187"/>
        <item x="167"/>
        <item x="128"/>
        <item x="122"/>
        <item x="78"/>
        <item x="98"/>
        <item x="159"/>
        <item x="89"/>
        <item x="185"/>
        <item x="36"/>
        <item x="23"/>
        <item x="18"/>
        <item x="109"/>
        <item x="142"/>
        <item x="37"/>
        <item x="24"/>
        <item x="7"/>
        <item x="160"/>
        <item x="34"/>
        <item x="0"/>
        <item x="112"/>
        <item x="137"/>
        <item x="63"/>
        <item x="66"/>
        <item x="138"/>
        <item x="107"/>
        <item x="117"/>
        <item x="74"/>
        <item x="168"/>
        <item x="157"/>
        <item x="47"/>
        <item x="120"/>
        <item x="133"/>
        <item x="175"/>
        <item x="110"/>
        <item x="6"/>
        <item x="13"/>
        <item x="90"/>
        <item x="164"/>
        <item x="39"/>
        <item x="75"/>
        <item x="65"/>
        <item x="147"/>
        <item x="180"/>
        <item x="94"/>
        <item x="103"/>
        <item x="45"/>
        <item x="95"/>
        <item x="96"/>
        <item x="79"/>
        <item x="105"/>
        <item x="191"/>
        <item x="16"/>
        <item x="136"/>
        <item x="182"/>
        <item x="51"/>
        <item x="49"/>
        <item x="40"/>
        <item x="148"/>
        <item x="189"/>
        <item x="153"/>
        <item x="52"/>
        <item x="149"/>
        <item x="85"/>
        <item x="171"/>
        <item x="11"/>
        <item x="59"/>
        <item x="69"/>
        <item x="22"/>
        <item x="33"/>
        <item x="179"/>
        <item x="101"/>
        <item x="99"/>
        <item x="15"/>
        <item x="9"/>
        <item x="181"/>
        <item x="35"/>
        <item x="170"/>
        <item x="84"/>
        <item x="97"/>
        <item x="10"/>
        <item x="73"/>
        <item x="108"/>
        <item x="118"/>
        <item x="135"/>
        <item x="183"/>
        <item x="115"/>
        <item x="174"/>
        <item x="86"/>
        <item x="54"/>
        <item x="145"/>
        <item x="42"/>
        <item x="44"/>
        <item x="152"/>
        <item x="154"/>
        <item x="46"/>
        <item x="77"/>
        <item x="41"/>
        <item x="4"/>
        <item x="81"/>
        <item x="127"/>
        <item x="56"/>
        <item x="165"/>
        <item x="60"/>
        <item x="162"/>
        <item x="5"/>
        <item x="188"/>
        <item x="20"/>
        <item x="134"/>
        <item x="129"/>
        <item x="132"/>
        <item x="184"/>
        <item x="25"/>
        <item x="43"/>
        <item x="194"/>
        <item x="119"/>
        <item x="29"/>
        <item x="28"/>
        <item x="8"/>
        <item x="88"/>
        <item x="106"/>
        <item x="124"/>
        <item x="155"/>
        <item x="196"/>
        <item x="178"/>
        <item x="82"/>
        <item x="141"/>
        <item x="1"/>
        <item x="193"/>
        <item x="80"/>
        <item x="139"/>
        <item x="3"/>
        <item x="67"/>
        <item x="68"/>
        <item x="76"/>
        <item x="100"/>
        <item x="30"/>
        <item x="83"/>
        <item x="131"/>
        <item x="121"/>
        <item x="2"/>
        <item x="14"/>
        <item x="17"/>
        <item x="87"/>
        <item x="158"/>
        <item x="166"/>
        <item x="163"/>
        <item x="55"/>
        <item x="140"/>
        <item x="114"/>
        <item x="50"/>
        <item x="93"/>
        <item x="176"/>
        <item x="31"/>
        <item x="102"/>
        <item x="150"/>
        <item x="57"/>
        <item x="169"/>
        <item x="125"/>
        <item x="151"/>
        <item x="123"/>
        <item x="12"/>
        <item t="default"/>
      </items>
    </pivotField>
    <pivotField compact="0" showAll="0">
      <items count="184">
        <item x="104"/>
        <item x="137"/>
        <item x="123"/>
        <item x="164"/>
        <item x="32"/>
        <item x="64"/>
        <item x="161"/>
        <item x="135"/>
        <item x="72"/>
        <item x="21"/>
        <item x="26"/>
        <item x="58"/>
        <item x="175"/>
        <item x="90"/>
        <item x="27"/>
        <item x="147"/>
        <item x="173"/>
        <item x="48"/>
        <item x="181"/>
        <item x="106"/>
        <item x="61"/>
        <item x="177"/>
        <item x="116"/>
        <item x="89"/>
        <item x="109"/>
        <item x="102"/>
        <item x="71"/>
        <item x="37"/>
        <item x="70"/>
        <item x="19"/>
        <item x="120"/>
        <item x="66"/>
        <item x="36"/>
        <item x="78"/>
        <item x="6"/>
        <item x="152"/>
        <item x="53"/>
        <item x="23"/>
        <item x="110"/>
        <item x="62"/>
        <item x="88"/>
        <item x="18"/>
        <item x="87"/>
        <item x="38"/>
        <item x="156"/>
        <item x="79"/>
        <item x="0"/>
        <item x="172"/>
        <item x="63"/>
        <item x="10"/>
        <item x="13"/>
        <item x="24"/>
        <item x="150"/>
        <item x="40"/>
        <item x="179"/>
        <item x="42"/>
        <item x="121"/>
        <item x="103"/>
        <item x="166"/>
        <item x="94"/>
        <item x="49"/>
        <item x="138"/>
        <item x="77"/>
        <item x="98"/>
        <item x="162"/>
        <item x="29"/>
        <item x="169"/>
        <item x="151"/>
        <item x="56"/>
        <item x="153"/>
        <item x="15"/>
        <item x="16"/>
        <item x="95"/>
        <item x="144"/>
        <item x="160"/>
        <item x="140"/>
        <item x="47"/>
        <item x="39"/>
        <item x="4"/>
        <item x="158"/>
        <item x="68"/>
        <item x="129"/>
        <item x="155"/>
        <item x="101"/>
        <item x="5"/>
        <item x="22"/>
        <item x="83"/>
        <item x="7"/>
        <item x="59"/>
        <item x="157"/>
        <item x="124"/>
        <item x="100"/>
        <item x="44"/>
        <item x="74"/>
        <item x="65"/>
        <item x="97"/>
        <item x="34"/>
        <item x="93"/>
        <item x="148"/>
        <item x="105"/>
        <item x="46"/>
        <item x="130"/>
        <item x="141"/>
        <item x="14"/>
        <item x="131"/>
        <item x="31"/>
        <item x="132"/>
        <item x="176"/>
        <item x="45"/>
        <item x="75"/>
        <item x="125"/>
        <item x="57"/>
        <item x="114"/>
        <item x="126"/>
        <item x="134"/>
        <item x="60"/>
        <item x="159"/>
        <item x="92"/>
        <item x="82"/>
        <item x="165"/>
        <item x="117"/>
        <item x="178"/>
        <item x="122"/>
        <item x="136"/>
        <item x="115"/>
        <item x="41"/>
        <item x="99"/>
        <item x="51"/>
        <item x="118"/>
        <item x="96"/>
        <item x="167"/>
        <item x="54"/>
        <item x="127"/>
        <item x="149"/>
        <item x="9"/>
        <item x="170"/>
        <item x="112"/>
        <item x="128"/>
        <item x="81"/>
        <item x="145"/>
        <item x="174"/>
        <item x="139"/>
        <item x="20"/>
        <item x="84"/>
        <item x="35"/>
        <item x="28"/>
        <item x="8"/>
        <item x="52"/>
        <item x="73"/>
        <item x="168"/>
        <item x="133"/>
        <item x="17"/>
        <item x="3"/>
        <item x="11"/>
        <item x="33"/>
        <item x="142"/>
        <item x="30"/>
        <item x="69"/>
        <item x="108"/>
        <item x="111"/>
        <item x="91"/>
        <item x="25"/>
        <item x="171"/>
        <item x="146"/>
        <item x="85"/>
        <item x="107"/>
        <item x="182"/>
        <item x="143"/>
        <item x="76"/>
        <item x="180"/>
        <item x="2"/>
        <item x="43"/>
        <item x="67"/>
        <item x="86"/>
        <item x="80"/>
        <item x="113"/>
        <item x="1"/>
        <item x="154"/>
        <item x="119"/>
        <item x="12"/>
        <item x="55"/>
        <item x="163"/>
        <item x="50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dataField="1" compact="0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0" baseItem="0"/>
    <dataField name="Sum of Ad_Spend" fld="6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E4:G9" firstHeaderRow="0" firstDataRow="1" firstDataCol="1"/>
  <pivotFields count="7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dataField="1" compact="0" showAll="0">
      <items count="198">
        <item x="111"/>
        <item x="190"/>
        <item x="130"/>
        <item x="144"/>
        <item x="92"/>
        <item x="195"/>
        <item x="146"/>
        <item x="113"/>
        <item x="64"/>
        <item x="177"/>
        <item x="27"/>
        <item x="116"/>
        <item x="104"/>
        <item x="91"/>
        <item x="186"/>
        <item x="48"/>
        <item x="70"/>
        <item x="172"/>
        <item x="126"/>
        <item x="173"/>
        <item x="32"/>
        <item x="26"/>
        <item x="21"/>
        <item x="53"/>
        <item x="156"/>
        <item x="192"/>
        <item x="61"/>
        <item x="62"/>
        <item x="72"/>
        <item x="58"/>
        <item x="143"/>
        <item x="161"/>
        <item x="38"/>
        <item x="19"/>
        <item x="71"/>
        <item x="187"/>
        <item x="167"/>
        <item x="128"/>
        <item x="122"/>
        <item x="78"/>
        <item x="98"/>
        <item x="159"/>
        <item x="89"/>
        <item x="185"/>
        <item x="36"/>
        <item x="23"/>
        <item x="18"/>
        <item x="109"/>
        <item x="142"/>
        <item x="37"/>
        <item x="24"/>
        <item x="7"/>
        <item x="160"/>
        <item x="34"/>
        <item x="0"/>
        <item x="112"/>
        <item x="137"/>
        <item x="63"/>
        <item x="66"/>
        <item x="138"/>
        <item x="107"/>
        <item x="117"/>
        <item x="74"/>
        <item x="168"/>
        <item x="157"/>
        <item x="47"/>
        <item x="120"/>
        <item x="133"/>
        <item x="175"/>
        <item x="110"/>
        <item x="6"/>
        <item x="13"/>
        <item x="90"/>
        <item x="164"/>
        <item x="39"/>
        <item x="75"/>
        <item x="65"/>
        <item x="147"/>
        <item x="180"/>
        <item x="94"/>
        <item x="103"/>
        <item x="45"/>
        <item x="95"/>
        <item x="96"/>
        <item x="79"/>
        <item x="105"/>
        <item x="191"/>
        <item x="16"/>
        <item x="136"/>
        <item x="182"/>
        <item x="51"/>
        <item x="49"/>
        <item x="40"/>
        <item x="148"/>
        <item x="189"/>
        <item x="153"/>
        <item x="52"/>
        <item x="149"/>
        <item x="85"/>
        <item x="171"/>
        <item x="11"/>
        <item x="59"/>
        <item x="69"/>
        <item x="22"/>
        <item x="33"/>
        <item x="179"/>
        <item x="101"/>
        <item x="99"/>
        <item x="15"/>
        <item x="9"/>
        <item x="181"/>
        <item x="35"/>
        <item x="170"/>
        <item x="84"/>
        <item x="97"/>
        <item x="10"/>
        <item x="73"/>
        <item x="108"/>
        <item x="118"/>
        <item x="135"/>
        <item x="183"/>
        <item x="115"/>
        <item x="174"/>
        <item x="86"/>
        <item x="54"/>
        <item x="145"/>
        <item x="42"/>
        <item x="44"/>
        <item x="152"/>
        <item x="154"/>
        <item x="46"/>
        <item x="77"/>
        <item x="41"/>
        <item x="4"/>
        <item x="81"/>
        <item x="127"/>
        <item x="56"/>
        <item x="165"/>
        <item x="60"/>
        <item x="162"/>
        <item x="5"/>
        <item x="188"/>
        <item x="20"/>
        <item x="134"/>
        <item x="129"/>
        <item x="132"/>
        <item x="184"/>
        <item x="25"/>
        <item x="43"/>
        <item x="194"/>
        <item x="119"/>
        <item x="29"/>
        <item x="28"/>
        <item x="8"/>
        <item x="88"/>
        <item x="106"/>
        <item x="124"/>
        <item x="155"/>
        <item x="196"/>
        <item x="178"/>
        <item x="82"/>
        <item x="141"/>
        <item x="1"/>
        <item x="193"/>
        <item x="80"/>
        <item x="139"/>
        <item x="3"/>
        <item x="67"/>
        <item x="68"/>
        <item x="76"/>
        <item x="100"/>
        <item x="30"/>
        <item x="83"/>
        <item x="131"/>
        <item x="121"/>
        <item x="2"/>
        <item x="14"/>
        <item x="17"/>
        <item x="87"/>
        <item x="158"/>
        <item x="166"/>
        <item x="163"/>
        <item x="55"/>
        <item x="140"/>
        <item x="114"/>
        <item x="50"/>
        <item x="93"/>
        <item x="176"/>
        <item x="31"/>
        <item x="102"/>
        <item x="150"/>
        <item x="57"/>
        <item x="169"/>
        <item x="125"/>
        <item x="151"/>
        <item x="123"/>
        <item x="12"/>
        <item t="default"/>
      </items>
    </pivotField>
    <pivotField dataField="1" compact="0" showAll="0">
      <items count="184">
        <item x="104"/>
        <item x="137"/>
        <item x="123"/>
        <item x="164"/>
        <item x="32"/>
        <item x="64"/>
        <item x="161"/>
        <item x="135"/>
        <item x="72"/>
        <item x="21"/>
        <item x="26"/>
        <item x="58"/>
        <item x="175"/>
        <item x="90"/>
        <item x="27"/>
        <item x="147"/>
        <item x="173"/>
        <item x="48"/>
        <item x="181"/>
        <item x="106"/>
        <item x="61"/>
        <item x="177"/>
        <item x="116"/>
        <item x="89"/>
        <item x="109"/>
        <item x="102"/>
        <item x="71"/>
        <item x="37"/>
        <item x="70"/>
        <item x="19"/>
        <item x="120"/>
        <item x="66"/>
        <item x="36"/>
        <item x="78"/>
        <item x="6"/>
        <item x="152"/>
        <item x="53"/>
        <item x="23"/>
        <item x="110"/>
        <item x="62"/>
        <item x="88"/>
        <item x="18"/>
        <item x="87"/>
        <item x="38"/>
        <item x="156"/>
        <item x="79"/>
        <item x="0"/>
        <item x="172"/>
        <item x="63"/>
        <item x="10"/>
        <item x="13"/>
        <item x="24"/>
        <item x="150"/>
        <item x="40"/>
        <item x="179"/>
        <item x="42"/>
        <item x="121"/>
        <item x="103"/>
        <item x="166"/>
        <item x="94"/>
        <item x="49"/>
        <item x="138"/>
        <item x="77"/>
        <item x="98"/>
        <item x="162"/>
        <item x="29"/>
        <item x="169"/>
        <item x="151"/>
        <item x="56"/>
        <item x="153"/>
        <item x="15"/>
        <item x="16"/>
        <item x="95"/>
        <item x="144"/>
        <item x="160"/>
        <item x="140"/>
        <item x="47"/>
        <item x="39"/>
        <item x="4"/>
        <item x="158"/>
        <item x="68"/>
        <item x="129"/>
        <item x="155"/>
        <item x="101"/>
        <item x="5"/>
        <item x="22"/>
        <item x="83"/>
        <item x="7"/>
        <item x="59"/>
        <item x="157"/>
        <item x="124"/>
        <item x="100"/>
        <item x="44"/>
        <item x="74"/>
        <item x="65"/>
        <item x="97"/>
        <item x="34"/>
        <item x="93"/>
        <item x="148"/>
        <item x="105"/>
        <item x="46"/>
        <item x="130"/>
        <item x="141"/>
        <item x="14"/>
        <item x="131"/>
        <item x="31"/>
        <item x="132"/>
        <item x="176"/>
        <item x="45"/>
        <item x="75"/>
        <item x="125"/>
        <item x="57"/>
        <item x="114"/>
        <item x="126"/>
        <item x="134"/>
        <item x="60"/>
        <item x="159"/>
        <item x="92"/>
        <item x="82"/>
        <item x="165"/>
        <item x="117"/>
        <item x="178"/>
        <item x="122"/>
        <item x="136"/>
        <item x="115"/>
        <item x="41"/>
        <item x="99"/>
        <item x="51"/>
        <item x="118"/>
        <item x="96"/>
        <item x="167"/>
        <item x="54"/>
        <item x="127"/>
        <item x="149"/>
        <item x="9"/>
        <item x="170"/>
        <item x="112"/>
        <item x="128"/>
        <item x="81"/>
        <item x="145"/>
        <item x="174"/>
        <item x="139"/>
        <item x="20"/>
        <item x="84"/>
        <item x="35"/>
        <item x="28"/>
        <item x="8"/>
        <item x="52"/>
        <item x="73"/>
        <item x="168"/>
        <item x="133"/>
        <item x="17"/>
        <item x="3"/>
        <item x="11"/>
        <item x="33"/>
        <item x="142"/>
        <item x="30"/>
        <item x="69"/>
        <item x="108"/>
        <item x="111"/>
        <item x="91"/>
        <item x="25"/>
        <item x="171"/>
        <item x="146"/>
        <item x="85"/>
        <item x="107"/>
        <item x="182"/>
        <item x="143"/>
        <item x="76"/>
        <item x="180"/>
        <item x="2"/>
        <item x="43"/>
        <item x="67"/>
        <item x="86"/>
        <item x="80"/>
        <item x="113"/>
        <item x="1"/>
        <item x="154"/>
        <item x="119"/>
        <item x="12"/>
        <item x="55"/>
        <item x="163"/>
        <item x="50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compact="0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follows" fld="3" baseField="0" baseItem="0"/>
    <dataField name="Sum of New_Followers" fld="2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8" firstHeaderRow="1" firstDataRow="1" firstDataCol="1"/>
  <pivotFields count="7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showAll="0" sortType="descending">
      <items count="5">
        <item x="0"/>
        <item x="3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98">
        <item x="111"/>
        <item x="190"/>
        <item x="130"/>
        <item x="144"/>
        <item x="92"/>
        <item x="195"/>
        <item x="146"/>
        <item x="113"/>
        <item x="64"/>
        <item x="177"/>
        <item x="27"/>
        <item x="116"/>
        <item x="104"/>
        <item x="91"/>
        <item x="186"/>
        <item x="48"/>
        <item x="70"/>
        <item x="172"/>
        <item x="126"/>
        <item x="173"/>
        <item x="32"/>
        <item x="26"/>
        <item x="21"/>
        <item x="53"/>
        <item x="156"/>
        <item x="192"/>
        <item x="61"/>
        <item x="62"/>
        <item x="72"/>
        <item x="58"/>
        <item x="143"/>
        <item x="161"/>
        <item x="38"/>
        <item x="19"/>
        <item x="71"/>
        <item x="187"/>
        <item x="167"/>
        <item x="128"/>
        <item x="122"/>
        <item x="78"/>
        <item x="98"/>
        <item x="159"/>
        <item x="89"/>
        <item x="185"/>
        <item x="36"/>
        <item x="23"/>
        <item x="18"/>
        <item x="109"/>
        <item x="142"/>
        <item x="37"/>
        <item x="24"/>
        <item x="7"/>
        <item x="160"/>
        <item x="34"/>
        <item x="0"/>
        <item x="112"/>
        <item x="137"/>
        <item x="63"/>
        <item x="66"/>
        <item x="138"/>
        <item x="107"/>
        <item x="117"/>
        <item x="74"/>
        <item x="168"/>
        <item x="157"/>
        <item x="47"/>
        <item x="120"/>
        <item x="133"/>
        <item x="175"/>
        <item x="110"/>
        <item x="6"/>
        <item x="13"/>
        <item x="90"/>
        <item x="164"/>
        <item x="39"/>
        <item x="75"/>
        <item x="65"/>
        <item x="147"/>
        <item x="180"/>
        <item x="94"/>
        <item x="103"/>
        <item x="45"/>
        <item x="95"/>
        <item x="96"/>
        <item x="79"/>
        <item x="105"/>
        <item x="191"/>
        <item x="16"/>
        <item x="136"/>
        <item x="182"/>
        <item x="51"/>
        <item x="49"/>
        <item x="40"/>
        <item x="148"/>
        <item x="189"/>
        <item x="153"/>
        <item x="52"/>
        <item x="149"/>
        <item x="85"/>
        <item x="171"/>
        <item x="11"/>
        <item x="59"/>
        <item x="69"/>
        <item x="22"/>
        <item x="33"/>
        <item x="179"/>
        <item x="101"/>
        <item x="99"/>
        <item x="15"/>
        <item x="9"/>
        <item x="181"/>
        <item x="35"/>
        <item x="170"/>
        <item x="84"/>
        <item x="97"/>
        <item x="10"/>
        <item x="73"/>
        <item x="108"/>
        <item x="118"/>
        <item x="135"/>
        <item x="183"/>
        <item x="115"/>
        <item x="174"/>
        <item x="86"/>
        <item x="54"/>
        <item x="145"/>
        <item x="42"/>
        <item x="44"/>
        <item x="152"/>
        <item x="154"/>
        <item x="46"/>
        <item x="77"/>
        <item x="41"/>
        <item x="4"/>
        <item x="81"/>
        <item x="127"/>
        <item x="56"/>
        <item x="165"/>
        <item x="60"/>
        <item x="162"/>
        <item x="5"/>
        <item x="188"/>
        <item x="20"/>
        <item x="134"/>
        <item x="129"/>
        <item x="132"/>
        <item x="184"/>
        <item x="25"/>
        <item x="43"/>
        <item x="194"/>
        <item x="119"/>
        <item x="29"/>
        <item x="28"/>
        <item x="8"/>
        <item x="88"/>
        <item x="106"/>
        <item x="124"/>
        <item x="155"/>
        <item x="196"/>
        <item x="178"/>
        <item x="82"/>
        <item x="141"/>
        <item x="1"/>
        <item x="193"/>
        <item x="80"/>
        <item x="139"/>
        <item x="3"/>
        <item x="67"/>
        <item x="68"/>
        <item x="76"/>
        <item x="100"/>
        <item x="30"/>
        <item x="83"/>
        <item x="131"/>
        <item x="121"/>
        <item x="2"/>
        <item x="14"/>
        <item x="17"/>
        <item x="87"/>
        <item x="158"/>
        <item x="166"/>
        <item x="163"/>
        <item x="55"/>
        <item x="140"/>
        <item x="114"/>
        <item x="50"/>
        <item x="93"/>
        <item x="176"/>
        <item x="31"/>
        <item x="102"/>
        <item x="150"/>
        <item x="57"/>
        <item x="169"/>
        <item x="125"/>
        <item x="151"/>
        <item x="123"/>
        <item x="12"/>
        <item t="default"/>
      </items>
    </pivotField>
    <pivotField compact="0" showAll="0">
      <items count="184">
        <item x="104"/>
        <item x="137"/>
        <item x="123"/>
        <item x="164"/>
        <item x="32"/>
        <item x="64"/>
        <item x="161"/>
        <item x="135"/>
        <item x="72"/>
        <item x="21"/>
        <item x="26"/>
        <item x="58"/>
        <item x="175"/>
        <item x="90"/>
        <item x="27"/>
        <item x="147"/>
        <item x="173"/>
        <item x="48"/>
        <item x="181"/>
        <item x="106"/>
        <item x="61"/>
        <item x="177"/>
        <item x="116"/>
        <item x="89"/>
        <item x="109"/>
        <item x="102"/>
        <item x="71"/>
        <item x="37"/>
        <item x="70"/>
        <item x="19"/>
        <item x="120"/>
        <item x="66"/>
        <item x="36"/>
        <item x="78"/>
        <item x="6"/>
        <item x="152"/>
        <item x="53"/>
        <item x="23"/>
        <item x="110"/>
        <item x="62"/>
        <item x="88"/>
        <item x="18"/>
        <item x="87"/>
        <item x="38"/>
        <item x="156"/>
        <item x="79"/>
        <item x="0"/>
        <item x="172"/>
        <item x="63"/>
        <item x="10"/>
        <item x="13"/>
        <item x="24"/>
        <item x="150"/>
        <item x="40"/>
        <item x="179"/>
        <item x="42"/>
        <item x="121"/>
        <item x="103"/>
        <item x="166"/>
        <item x="94"/>
        <item x="49"/>
        <item x="138"/>
        <item x="77"/>
        <item x="98"/>
        <item x="162"/>
        <item x="29"/>
        <item x="169"/>
        <item x="151"/>
        <item x="56"/>
        <item x="153"/>
        <item x="15"/>
        <item x="16"/>
        <item x="95"/>
        <item x="144"/>
        <item x="160"/>
        <item x="140"/>
        <item x="47"/>
        <item x="39"/>
        <item x="4"/>
        <item x="158"/>
        <item x="68"/>
        <item x="129"/>
        <item x="155"/>
        <item x="101"/>
        <item x="5"/>
        <item x="22"/>
        <item x="83"/>
        <item x="7"/>
        <item x="59"/>
        <item x="157"/>
        <item x="124"/>
        <item x="100"/>
        <item x="44"/>
        <item x="74"/>
        <item x="65"/>
        <item x="97"/>
        <item x="34"/>
        <item x="93"/>
        <item x="148"/>
        <item x="105"/>
        <item x="46"/>
        <item x="130"/>
        <item x="141"/>
        <item x="14"/>
        <item x="131"/>
        <item x="31"/>
        <item x="132"/>
        <item x="176"/>
        <item x="45"/>
        <item x="75"/>
        <item x="125"/>
        <item x="57"/>
        <item x="114"/>
        <item x="126"/>
        <item x="134"/>
        <item x="60"/>
        <item x="159"/>
        <item x="92"/>
        <item x="82"/>
        <item x="165"/>
        <item x="117"/>
        <item x="178"/>
        <item x="122"/>
        <item x="136"/>
        <item x="115"/>
        <item x="41"/>
        <item x="99"/>
        <item x="51"/>
        <item x="118"/>
        <item x="96"/>
        <item x="167"/>
        <item x="54"/>
        <item x="127"/>
        <item x="149"/>
        <item x="9"/>
        <item x="170"/>
        <item x="112"/>
        <item x="128"/>
        <item x="81"/>
        <item x="145"/>
        <item x="174"/>
        <item x="139"/>
        <item x="20"/>
        <item x="84"/>
        <item x="35"/>
        <item x="28"/>
        <item x="8"/>
        <item x="52"/>
        <item x="73"/>
        <item x="168"/>
        <item x="133"/>
        <item x="17"/>
        <item x="3"/>
        <item x="11"/>
        <item x="33"/>
        <item x="142"/>
        <item x="30"/>
        <item x="69"/>
        <item x="108"/>
        <item x="111"/>
        <item x="91"/>
        <item x="25"/>
        <item x="171"/>
        <item x="146"/>
        <item x="85"/>
        <item x="107"/>
        <item x="182"/>
        <item x="143"/>
        <item x="76"/>
        <item x="180"/>
        <item x="2"/>
        <item x="43"/>
        <item x="67"/>
        <item x="86"/>
        <item x="80"/>
        <item x="113"/>
        <item x="1"/>
        <item x="154"/>
        <item x="119"/>
        <item x="12"/>
        <item x="55"/>
        <item x="163"/>
        <item x="50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compact="0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Engagement_Rate" fld="5" subtotal="average" baseField="0" baseItem="0"/>
  </dataFields>
  <formats count="20">
    <format dxfId="8">
      <pivotArea collapsedLevelsAreSubtotals="1" fieldPosition="0">
        <references count="1">
          <reference field="1" count="1" selected="0">
            <x v="0"/>
          </reference>
        </references>
      </pivotArea>
    </format>
    <format dxfId="8">
      <pivotArea collapsedLevelsAreSubtotals="1" fieldPosition="0">
        <references count="1">
          <reference field="1" count="1" selected="0">
            <x v="1"/>
          </reference>
        </references>
      </pivotArea>
    </format>
    <format dxfId="8">
      <pivotArea collapsedLevelsAreSubtotals="1" fieldPosition="0">
        <references count="1">
          <reference field="1" count="1" selected="0">
            <x v="2"/>
          </reference>
        </references>
      </pivotArea>
    </format>
    <format dxfId="8">
      <pivotArea collapsedLevelsAreSubtotals="1" fieldPosition="0">
        <references count="1">
          <reference field="1" count="1" selected="0">
            <x v="3"/>
          </reference>
        </references>
      </pivotArea>
    </format>
    <format dxfId="0">
      <pivotArea collapsedLevelsAreSubtotals="1" fieldPosition="0">
        <references count="1">
          <reference field="1" count="1" selected="0">
            <x v="0"/>
          </reference>
        </references>
      </pivotArea>
    </format>
    <format dxfId="0">
      <pivotArea collapsedLevelsAreSubtotals="1" fieldPosition="0">
        <references count="1">
          <reference field="1" count="1" selected="0">
            <x v="1"/>
          </reference>
        </references>
      </pivotArea>
    </format>
    <format dxfId="0">
      <pivotArea collapsedLevelsAreSubtotals="1" fieldPosition="0">
        <references count="1">
          <reference field="1" count="1" selected="0">
            <x v="2"/>
          </reference>
        </references>
      </pivotArea>
    </format>
    <format dxfId="0">
      <pivotArea collapsedLevelsAreSubtotals="1" fieldPosition="0">
        <references count="1">
          <reference field="1" count="1" selected="0">
            <x v="3"/>
          </reference>
        </references>
      </pivotArea>
    </format>
    <format dxfId="1">
      <pivotArea collapsedLevelsAreSubtotals="1" fieldPosition="0">
        <references count="1">
          <reference field="1" count="1" selected="0">
            <x v="0"/>
          </reference>
        </references>
      </pivotArea>
    </format>
    <format dxfId="1">
      <pivotArea collapsedLevelsAreSubtotals="1" fieldPosition="0">
        <references count="1">
          <reference field="1" count="1" selected="0">
            <x v="1"/>
          </reference>
        </references>
      </pivotArea>
    </format>
    <format dxfId="1">
      <pivotArea collapsedLevelsAreSubtotals="1" fieldPosition="0">
        <references count="1">
          <reference field="1" count="1" selected="0">
            <x v="2"/>
          </reference>
        </references>
      </pivotArea>
    </format>
    <format dxfId="1">
      <pivotArea collapsedLevelsAreSubtotals="1" fieldPosition="0">
        <references count="1">
          <reference field="1" count="1" selected="0">
            <x v="3"/>
          </reference>
        </references>
      </pivotArea>
    </format>
    <format dxfId="2">
      <pivotArea collapsedLevelsAreSubtotals="1" fieldPosition="0">
        <references count="1">
          <reference field="1" count="1" selected="0">
            <x v="0"/>
          </reference>
        </references>
      </pivotArea>
    </format>
    <format dxfId="2">
      <pivotArea collapsedLevelsAreSubtotals="1" fieldPosition="0">
        <references count="1">
          <reference field="1" count="1" selected="0">
            <x v="1"/>
          </reference>
        </references>
      </pivotArea>
    </format>
    <format dxfId="2">
      <pivotArea collapsedLevelsAreSubtotals="1" fieldPosition="0">
        <references count="1">
          <reference field="1" count="1" selected="0">
            <x v="2"/>
          </reference>
        </references>
      </pivotArea>
    </format>
    <format dxfId="2">
      <pivotArea collapsedLevelsAreSubtotals="1" fieldPosition="0">
        <references count="1">
          <reference field="1" count="1" selected="0">
            <x v="3"/>
          </reference>
        </references>
      </pivotArea>
    </format>
    <format dxfId="3">
      <pivotArea collapsedLevelsAreSubtotals="1" fieldPosition="0">
        <references count="1">
          <reference field="1" count="1" selected="0">
            <x v="0"/>
          </reference>
        </references>
      </pivotArea>
    </format>
    <format dxfId="3">
      <pivotArea collapsedLevelsAreSubtotals="1" fieldPosition="0">
        <references count="1">
          <reference field="1" count="1" selected="0">
            <x v="1"/>
          </reference>
        </references>
      </pivotArea>
    </format>
    <format dxfId="3">
      <pivotArea collapsedLevelsAreSubtotals="1" fieldPosition="0">
        <references count="1">
          <reference field="1" count="1" selected="0">
            <x v="2"/>
          </reference>
        </references>
      </pivotArea>
    </format>
    <format dxfId="3">
      <pivotArea collapsedLevelsAreSubtotals="1" fieldPosition="0">
        <references count="1">
          <reference field="1" count="1" selected="0">
            <x v="3"/>
          </reference>
        </references>
      </pivotArea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2" dataPosition="1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23:P30" firstHeaderRow="1" firstDataRow="3" firstDataCol="1"/>
  <pivotFields count="14">
    <pivotField compact="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compact="0" showAll="0">
      <items count="5">
        <item x="3"/>
        <item x="1"/>
        <item x="0"/>
        <item x="2"/>
        <item t="default"/>
      </items>
    </pivotField>
    <pivotField compact="0" numFmtId="164" showAll="0">
      <items count="211">
        <item x="122"/>
        <item x="125"/>
        <item x="25"/>
        <item x="133"/>
        <item x="0"/>
        <item x="29"/>
        <item x="146"/>
        <item x="9"/>
        <item x="49"/>
        <item x="86"/>
        <item x="166"/>
        <item x="99"/>
        <item x="196"/>
        <item x="181"/>
        <item x="91"/>
        <item x="40"/>
        <item x="201"/>
        <item x="97"/>
        <item x="162"/>
        <item x="13"/>
        <item x="78"/>
        <item x="20"/>
        <item x="194"/>
        <item x="180"/>
        <item x="23"/>
        <item x="75"/>
        <item x="128"/>
        <item x="206"/>
        <item x="43"/>
        <item x="150"/>
        <item x="31"/>
        <item x="90"/>
        <item x="12"/>
        <item x="5"/>
        <item x="21"/>
        <item x="124"/>
        <item x="118"/>
        <item x="83"/>
        <item x="191"/>
        <item x="175"/>
        <item x="18"/>
        <item x="35"/>
        <item x="136"/>
        <item x="38"/>
        <item x="204"/>
        <item x="193"/>
        <item x="131"/>
        <item x="4"/>
        <item x="33"/>
        <item x="2"/>
        <item x="163"/>
        <item x="82"/>
        <item x="37"/>
        <item x="120"/>
        <item x="103"/>
        <item x="179"/>
        <item x="152"/>
        <item x="172"/>
        <item x="113"/>
        <item x="10"/>
        <item x="144"/>
        <item x="177"/>
        <item x="16"/>
        <item x="84"/>
        <item x="189"/>
        <item x="1"/>
        <item x="159"/>
        <item x="3"/>
        <item x="17"/>
        <item x="95"/>
        <item x="209"/>
        <item x="19"/>
        <item x="7"/>
        <item x="119"/>
        <item x="105"/>
        <item x="26"/>
        <item x="185"/>
        <item x="135"/>
        <item x="174"/>
        <item x="147"/>
        <item x="114"/>
        <item x="6"/>
        <item x="199"/>
        <item x="77"/>
        <item x="190"/>
        <item x="142"/>
        <item x="202"/>
        <item x="100"/>
        <item x="88"/>
        <item x="80"/>
        <item x="64"/>
        <item x="126"/>
        <item x="60"/>
        <item x="93"/>
        <item x="130"/>
        <item x="67"/>
        <item x="155"/>
        <item x="45"/>
        <item x="176"/>
        <item x="121"/>
        <item x="137"/>
        <item x="72"/>
        <item x="141"/>
        <item x="164"/>
        <item x="92"/>
        <item x="170"/>
        <item x="138"/>
        <item x="187"/>
        <item x="110"/>
        <item x="96"/>
        <item x="104"/>
        <item x="117"/>
        <item x="14"/>
        <item x="41"/>
        <item x="102"/>
        <item x="203"/>
        <item x="55"/>
        <item x="30"/>
        <item x="53"/>
        <item x="186"/>
        <item x="167"/>
        <item x="62"/>
        <item x="139"/>
        <item x="101"/>
        <item x="47"/>
        <item x="69"/>
        <item x="134"/>
        <item x="28"/>
        <item x="109"/>
        <item x="145"/>
        <item x="183"/>
        <item x="46"/>
        <item x="197"/>
        <item x="140"/>
        <item x="87"/>
        <item x="132"/>
        <item x="151"/>
        <item x="182"/>
        <item x="94"/>
        <item x="36"/>
        <item x="34"/>
        <item x="207"/>
        <item x="24"/>
        <item x="50"/>
        <item x="178"/>
        <item x="98"/>
        <item x="44"/>
        <item x="81"/>
        <item x="15"/>
        <item x="111"/>
        <item x="123"/>
        <item x="57"/>
        <item x="107"/>
        <item x="165"/>
        <item x="42"/>
        <item x="173"/>
        <item x="76"/>
        <item x="63"/>
        <item x="188"/>
        <item x="116"/>
        <item x="89"/>
        <item x="74"/>
        <item x="184"/>
        <item x="171"/>
        <item x="195"/>
        <item x="143"/>
        <item x="129"/>
        <item x="168"/>
        <item x="32"/>
        <item x="169"/>
        <item x="127"/>
        <item x="161"/>
        <item x="85"/>
        <item x="112"/>
        <item x="160"/>
        <item x="61"/>
        <item x="59"/>
        <item x="58"/>
        <item x="56"/>
        <item x="54"/>
        <item x="51"/>
        <item x="48"/>
        <item x="39"/>
        <item x="27"/>
        <item x="22"/>
        <item x="11"/>
        <item x="8"/>
        <item x="71"/>
        <item x="68"/>
        <item x="208"/>
        <item x="205"/>
        <item x="200"/>
        <item x="198"/>
        <item x="192"/>
        <item x="108"/>
        <item x="79"/>
        <item x="158"/>
        <item x="154"/>
        <item x="149"/>
        <item x="148"/>
        <item x="153"/>
        <item x="73"/>
        <item x="52"/>
        <item x="66"/>
        <item x="157"/>
        <item x="115"/>
        <item x="106"/>
        <item x="70"/>
        <item x="65"/>
        <item x="156"/>
        <item t="default"/>
      </items>
    </pivotField>
    <pivotField axis="axisRow" compact="0" showAll="0">
      <items count="5">
        <item x="0"/>
        <item x="3"/>
        <item x="2"/>
        <item x="1"/>
        <item t="default"/>
      </items>
    </pivotField>
    <pivotField compact="0" showAll="0">
      <items count="12">
        <item x="8"/>
        <item x="3"/>
        <item x="0"/>
        <item x="2"/>
        <item x="7"/>
        <item x="4"/>
        <item x="10"/>
        <item x="5"/>
        <item x="9"/>
        <item x="6"/>
        <item x="1"/>
        <item t="default"/>
      </items>
    </pivotField>
    <pivotField compact="0" showAll="0">
      <items count="12">
        <item x="1"/>
        <item x="4"/>
        <item x="5"/>
        <item x="0"/>
        <item x="2"/>
        <item x="8"/>
        <item x="9"/>
        <item x="3"/>
        <item x="6"/>
        <item x="10"/>
        <item x="7"/>
        <item t="default"/>
      </items>
    </pivotField>
    <pivotField dataField="1" compact="0" showAll="0">
      <items count="297">
        <item x="90"/>
        <item x="220"/>
        <item x="124"/>
        <item x="222"/>
        <item x="74"/>
        <item x="73"/>
        <item x="259"/>
        <item x="116"/>
        <item x="241"/>
        <item x="184"/>
        <item x="23"/>
        <item x="79"/>
        <item x="199"/>
        <item x="65"/>
        <item x="146"/>
        <item x="81"/>
        <item x="154"/>
        <item x="98"/>
        <item x="193"/>
        <item x="97"/>
        <item x="55"/>
        <item x="215"/>
        <item x="230"/>
        <item x="85"/>
        <item x="158"/>
        <item x="136"/>
        <item x="186"/>
        <item x="192"/>
        <item x="260"/>
        <item x="45"/>
        <item x="176"/>
        <item x="63"/>
        <item x="148"/>
        <item x="277"/>
        <item x="249"/>
        <item x="185"/>
        <item x="283"/>
        <item x="258"/>
        <item x="105"/>
        <item x="279"/>
        <item x="134"/>
        <item x="37"/>
        <item x="227"/>
        <item x="49"/>
        <item x="210"/>
        <item x="178"/>
        <item x="3"/>
        <item x="19"/>
        <item x="250"/>
        <item x="10"/>
        <item x="61"/>
        <item x="2"/>
        <item x="31"/>
        <item x="292"/>
        <item x="48"/>
        <item x="205"/>
        <item x="252"/>
        <item x="206"/>
        <item x="236"/>
        <item x="82"/>
        <item x="130"/>
        <item x="118"/>
        <item x="280"/>
        <item x="145"/>
        <item x="32"/>
        <item x="189"/>
        <item x="200"/>
        <item x="67"/>
        <item x="56"/>
        <item x="268"/>
        <item x="173"/>
        <item x="181"/>
        <item x="103"/>
        <item x="269"/>
        <item x="273"/>
        <item x="278"/>
        <item x="104"/>
        <item x="177"/>
        <item x="168"/>
        <item x="246"/>
        <item x="110"/>
        <item x="160"/>
        <item x="144"/>
        <item x="211"/>
        <item x="15"/>
        <item x="194"/>
        <item x="152"/>
        <item x="9"/>
        <item x="14"/>
        <item x="163"/>
        <item x="247"/>
        <item x="95"/>
        <item x="22"/>
        <item x="84"/>
        <item x="291"/>
        <item x="42"/>
        <item x="88"/>
        <item x="271"/>
        <item x="171"/>
        <item x="195"/>
        <item x="282"/>
        <item x="164"/>
        <item x="11"/>
        <item x="216"/>
        <item x="190"/>
        <item x="198"/>
        <item x="72"/>
        <item x="170"/>
        <item x="219"/>
        <item x="34"/>
        <item x="262"/>
        <item x="80"/>
        <item x="33"/>
        <item x="128"/>
        <item x="76"/>
        <item x="217"/>
        <item x="125"/>
        <item x="132"/>
        <item x="108"/>
        <item x="13"/>
        <item x="5"/>
        <item x="100"/>
        <item x="172"/>
        <item x="68"/>
        <item x="86"/>
        <item x="264"/>
        <item x="46"/>
        <item x="30"/>
        <item x="284"/>
        <item x="242"/>
        <item x="256"/>
        <item x="153"/>
        <item x="36"/>
        <item x="8"/>
        <item x="187"/>
        <item x="0"/>
        <item x="99"/>
        <item x="39"/>
        <item x="235"/>
        <item x="234"/>
        <item x="238"/>
        <item x="151"/>
        <item x="78"/>
        <item x="140"/>
        <item x="133"/>
        <item x="62"/>
        <item x="115"/>
        <item x="255"/>
        <item x="24"/>
        <item x="175"/>
        <item x="214"/>
        <item x="143"/>
        <item x="267"/>
        <item x="276"/>
        <item x="20"/>
        <item x="162"/>
        <item x="275"/>
        <item x="53"/>
        <item x="232"/>
        <item x="101"/>
        <item x="265"/>
        <item x="43"/>
        <item x="70"/>
        <item x="188"/>
        <item x="47"/>
        <item x="106"/>
        <item x="251"/>
        <item x="165"/>
        <item x="102"/>
        <item x="91"/>
        <item x="218"/>
        <item x="137"/>
        <item x="16"/>
        <item x="119"/>
        <item x="59"/>
        <item x="191"/>
        <item x="208"/>
        <item x="226"/>
        <item x="207"/>
        <item x="114"/>
        <item x="248"/>
        <item x="112"/>
        <item x="131"/>
        <item x="123"/>
        <item x="139"/>
        <item x="127"/>
        <item x="240"/>
        <item x="225"/>
        <item x="149"/>
        <item x="121"/>
        <item x="166"/>
        <item x="281"/>
        <item x="44"/>
        <item x="41"/>
        <item x="197"/>
        <item x="93"/>
        <item x="209"/>
        <item x="66"/>
        <item x="179"/>
        <item x="71"/>
        <item x="270"/>
        <item x="25"/>
        <item x="113"/>
        <item x="58"/>
        <item x="155"/>
        <item x="161"/>
        <item x="213"/>
        <item x="17"/>
        <item x="159"/>
        <item x="239"/>
        <item x="129"/>
        <item x="180"/>
        <item x="290"/>
        <item x="107"/>
        <item x="169"/>
        <item x="40"/>
        <item x="21"/>
        <item x="89"/>
        <item x="212"/>
        <item x="245"/>
        <item x="221"/>
        <item x="257"/>
        <item x="51"/>
        <item x="272"/>
        <item x="38"/>
        <item x="150"/>
        <item x="203"/>
        <item x="77"/>
        <item x="135"/>
        <item x="35"/>
        <item x="224"/>
        <item x="182"/>
        <item x="7"/>
        <item x="64"/>
        <item x="109"/>
        <item x="204"/>
        <item x="147"/>
        <item x="294"/>
        <item x="261"/>
        <item x="274"/>
        <item x="183"/>
        <item x="69"/>
        <item x="94"/>
        <item x="83"/>
        <item x="293"/>
        <item x="244"/>
        <item x="122"/>
        <item x="243"/>
        <item x="157"/>
        <item x="202"/>
        <item x="27"/>
        <item x="75"/>
        <item x="263"/>
        <item x="231"/>
        <item x="1"/>
        <item x="54"/>
        <item x="196"/>
        <item x="26"/>
        <item x="288"/>
        <item x="141"/>
        <item x="286"/>
        <item x="228"/>
        <item x="138"/>
        <item x="92"/>
        <item x="174"/>
        <item x="120"/>
        <item x="229"/>
        <item x="60"/>
        <item x="167"/>
        <item x="96"/>
        <item x="6"/>
        <item x="117"/>
        <item x="18"/>
        <item x="28"/>
        <item x="52"/>
        <item x="142"/>
        <item x="4"/>
        <item x="254"/>
        <item x="156"/>
        <item x="287"/>
        <item x="50"/>
        <item x="253"/>
        <item x="223"/>
        <item x="126"/>
        <item x="285"/>
        <item x="266"/>
        <item x="87"/>
        <item x="295"/>
        <item x="237"/>
        <item x="12"/>
        <item x="111"/>
        <item x="289"/>
        <item x="233"/>
        <item x="201"/>
        <item x="29"/>
        <item x="57"/>
        <item t="default"/>
      </items>
    </pivotField>
    <pivotField dataField="1" compact="0" showAll="0">
      <items count="272">
        <item x="93"/>
        <item x="195"/>
        <item x="137"/>
        <item x="15"/>
        <item x="28"/>
        <item x="188"/>
        <item x="8"/>
        <item x="223"/>
        <item x="71"/>
        <item x="90"/>
        <item x="196"/>
        <item x="78"/>
        <item x="80"/>
        <item x="81"/>
        <item x="25"/>
        <item x="254"/>
        <item x="168"/>
        <item x="107"/>
        <item x="218"/>
        <item x="16"/>
        <item x="86"/>
        <item x="173"/>
        <item x="128"/>
        <item x="169"/>
        <item x="123"/>
        <item x="20"/>
        <item x="152"/>
        <item x="59"/>
        <item x="178"/>
        <item x="241"/>
        <item x="259"/>
        <item x="82"/>
        <item x="22"/>
        <item x="154"/>
        <item x="1"/>
        <item x="68"/>
        <item x="65"/>
        <item x="131"/>
        <item x="208"/>
        <item x="134"/>
        <item x="214"/>
        <item x="46"/>
        <item x="170"/>
        <item x="145"/>
        <item x="219"/>
        <item x="143"/>
        <item x="182"/>
        <item x="39"/>
        <item x="57"/>
        <item x="242"/>
        <item x="200"/>
        <item x="30"/>
        <item x="2"/>
        <item x="32"/>
        <item x="50"/>
        <item x="98"/>
        <item x="239"/>
        <item x="119"/>
        <item x="235"/>
        <item x="193"/>
        <item x="191"/>
        <item x="41"/>
        <item x="105"/>
        <item x="5"/>
        <item x="163"/>
        <item x="61"/>
        <item x="24"/>
        <item x="203"/>
        <item x="160"/>
        <item x="136"/>
        <item x="40"/>
        <item x="74"/>
        <item x="6"/>
        <item x="232"/>
        <item x="264"/>
        <item x="4"/>
        <item x="246"/>
        <item x="31"/>
        <item x="237"/>
        <item x="55"/>
        <item x="3"/>
        <item x="115"/>
        <item x="233"/>
        <item x="47"/>
        <item x="72"/>
        <item x="192"/>
        <item x="199"/>
        <item x="91"/>
        <item x="161"/>
        <item x="146"/>
        <item x="142"/>
        <item x="121"/>
        <item x="234"/>
        <item x="207"/>
        <item x="51"/>
        <item x="147"/>
        <item x="95"/>
        <item x="181"/>
        <item x="62"/>
        <item x="269"/>
        <item x="127"/>
        <item x="37"/>
        <item x="100"/>
        <item x="101"/>
        <item x="238"/>
        <item x="12"/>
        <item x="99"/>
        <item x="53"/>
        <item x="204"/>
        <item x="247"/>
        <item x="164"/>
        <item x="69"/>
        <item x="56"/>
        <item x="10"/>
        <item x="186"/>
        <item x="111"/>
        <item x="38"/>
        <item x="144"/>
        <item x="256"/>
        <item x="88"/>
        <item x="94"/>
        <item x="19"/>
        <item x="108"/>
        <item x="231"/>
        <item x="244"/>
        <item x="216"/>
        <item x="224"/>
        <item x="66"/>
        <item x="92"/>
        <item x="194"/>
        <item x="266"/>
        <item x="209"/>
        <item x="129"/>
        <item x="122"/>
        <item x="126"/>
        <item x="221"/>
        <item x="9"/>
        <item x="110"/>
        <item x="104"/>
        <item x="197"/>
        <item x="215"/>
        <item x="140"/>
        <item x="106"/>
        <item x="125"/>
        <item x="18"/>
        <item x="162"/>
        <item x="158"/>
        <item x="227"/>
        <item x="187"/>
        <item x="135"/>
        <item x="270"/>
        <item x="171"/>
        <item x="252"/>
        <item x="17"/>
        <item x="225"/>
        <item x="83"/>
        <item x="87"/>
        <item x="34"/>
        <item x="148"/>
        <item x="7"/>
        <item x="60"/>
        <item x="139"/>
        <item x="249"/>
        <item x="267"/>
        <item x="175"/>
        <item x="165"/>
        <item x="85"/>
        <item x="23"/>
        <item x="211"/>
        <item x="184"/>
        <item x="112"/>
        <item x="36"/>
        <item x="13"/>
        <item x="251"/>
        <item x="228"/>
        <item x="261"/>
        <item x="117"/>
        <item x="141"/>
        <item x="174"/>
        <item x="130"/>
        <item x="260"/>
        <item x="48"/>
        <item x="172"/>
        <item x="79"/>
        <item x="245"/>
        <item x="240"/>
        <item x="230"/>
        <item x="113"/>
        <item x="138"/>
        <item x="176"/>
        <item x="29"/>
        <item x="42"/>
        <item x="198"/>
        <item x="229"/>
        <item x="0"/>
        <item x="212"/>
        <item x="243"/>
        <item x="250"/>
        <item x="268"/>
        <item x="180"/>
        <item x="201"/>
        <item x="67"/>
        <item x="43"/>
        <item x="75"/>
        <item x="217"/>
        <item x="265"/>
        <item x="63"/>
        <item x="263"/>
        <item x="257"/>
        <item x="183"/>
        <item x="255"/>
        <item x="44"/>
        <item x="124"/>
        <item x="248"/>
        <item x="166"/>
        <item x="52"/>
        <item x="77"/>
        <item x="189"/>
        <item x="70"/>
        <item x="253"/>
        <item x="58"/>
        <item x="133"/>
        <item x="213"/>
        <item x="155"/>
        <item x="114"/>
        <item x="159"/>
        <item x="205"/>
        <item x="150"/>
        <item x="210"/>
        <item x="132"/>
        <item x="151"/>
        <item x="73"/>
        <item x="45"/>
        <item x="258"/>
        <item x="89"/>
        <item x="179"/>
        <item x="103"/>
        <item x="35"/>
        <item x="120"/>
        <item x="149"/>
        <item x="262"/>
        <item x="11"/>
        <item x="21"/>
        <item x="202"/>
        <item x="190"/>
        <item x="84"/>
        <item x="76"/>
        <item x="26"/>
        <item x="109"/>
        <item x="33"/>
        <item x="220"/>
        <item x="206"/>
        <item x="185"/>
        <item x="167"/>
        <item x="54"/>
        <item x="222"/>
        <item x="226"/>
        <item x="97"/>
        <item x="102"/>
        <item x="236"/>
        <item x="177"/>
        <item x="64"/>
        <item x="116"/>
        <item x="156"/>
        <item x="49"/>
        <item x="96"/>
        <item x="157"/>
        <item x="14"/>
        <item x="118"/>
        <item x="27"/>
        <item x="153"/>
        <item t="default"/>
      </items>
    </pivotField>
    <pivotField dataField="1" compact="0" showAll="0">
      <items count="247">
        <item x="103"/>
        <item x="73"/>
        <item x="3"/>
        <item x="192"/>
        <item x="9"/>
        <item x="113"/>
        <item x="27"/>
        <item x="105"/>
        <item x="74"/>
        <item x="26"/>
        <item x="81"/>
        <item x="28"/>
        <item x="12"/>
        <item x="118"/>
        <item x="119"/>
        <item x="62"/>
        <item x="30"/>
        <item x="106"/>
        <item x="57"/>
        <item x="36"/>
        <item x="241"/>
        <item x="229"/>
        <item x="99"/>
        <item x="63"/>
        <item x="114"/>
        <item x="16"/>
        <item x="128"/>
        <item x="20"/>
        <item x="70"/>
        <item x="100"/>
        <item x="76"/>
        <item x="183"/>
        <item x="24"/>
        <item x="221"/>
        <item x="151"/>
        <item x="184"/>
        <item x="162"/>
        <item x="104"/>
        <item x="158"/>
        <item x="50"/>
        <item x="96"/>
        <item x="207"/>
        <item x="140"/>
        <item x="39"/>
        <item x="208"/>
        <item x="102"/>
        <item x="193"/>
        <item x="53"/>
        <item x="84"/>
        <item x="202"/>
        <item x="19"/>
        <item x="201"/>
        <item x="69"/>
        <item x="204"/>
        <item x="88"/>
        <item x="238"/>
        <item x="40"/>
        <item x="0"/>
        <item x="31"/>
        <item x="126"/>
        <item x="216"/>
        <item x="77"/>
        <item x="66"/>
        <item x="22"/>
        <item x="172"/>
        <item x="131"/>
        <item x="47"/>
        <item x="177"/>
        <item x="228"/>
        <item x="186"/>
        <item x="123"/>
        <item x="79"/>
        <item x="170"/>
        <item x="94"/>
        <item x="32"/>
        <item x="174"/>
        <item x="210"/>
        <item x="182"/>
        <item x="14"/>
        <item x="167"/>
        <item x="232"/>
        <item x="55"/>
        <item x="133"/>
        <item x="157"/>
        <item x="34"/>
        <item x="144"/>
        <item x="65"/>
        <item x="189"/>
        <item x="56"/>
        <item x="2"/>
        <item x="145"/>
        <item x="92"/>
        <item x="159"/>
        <item x="98"/>
        <item x="8"/>
        <item x="85"/>
        <item x="225"/>
        <item x="244"/>
        <item x="168"/>
        <item x="143"/>
        <item x="196"/>
        <item x="95"/>
        <item x="169"/>
        <item x="166"/>
        <item x="200"/>
        <item x="43"/>
        <item x="129"/>
        <item x="125"/>
        <item x="214"/>
        <item x="239"/>
        <item x="161"/>
        <item x="171"/>
        <item x="148"/>
        <item x="165"/>
        <item x="227"/>
        <item x="78"/>
        <item x="195"/>
        <item x="152"/>
        <item x="230"/>
        <item x="213"/>
        <item x="58"/>
        <item x="187"/>
        <item x="181"/>
        <item x="109"/>
        <item x="191"/>
        <item x="163"/>
        <item x="155"/>
        <item x="18"/>
        <item x="146"/>
        <item x="212"/>
        <item x="38"/>
        <item x="245"/>
        <item x="82"/>
        <item x="236"/>
        <item x="49"/>
        <item x="223"/>
        <item x="178"/>
        <item x="17"/>
        <item x="41"/>
        <item x="240"/>
        <item x="234"/>
        <item x="110"/>
        <item x="46"/>
        <item x="130"/>
        <item x="5"/>
        <item x="23"/>
        <item x="37"/>
        <item x="124"/>
        <item x="44"/>
        <item x="72"/>
        <item x="197"/>
        <item x="121"/>
        <item x="222"/>
        <item x="83"/>
        <item x="15"/>
        <item x="209"/>
        <item x="199"/>
        <item x="80"/>
        <item x="233"/>
        <item x="90"/>
        <item x="188"/>
        <item x="52"/>
        <item x="198"/>
        <item x="138"/>
        <item x="7"/>
        <item x="136"/>
        <item x="111"/>
        <item x="132"/>
        <item x="190"/>
        <item x="164"/>
        <item x="97"/>
        <item x="135"/>
        <item x="153"/>
        <item x="1"/>
        <item x="217"/>
        <item x="180"/>
        <item x="42"/>
        <item x="13"/>
        <item x="211"/>
        <item x="29"/>
        <item x="93"/>
        <item x="206"/>
        <item x="61"/>
        <item x="224"/>
        <item x="205"/>
        <item x="91"/>
        <item x="33"/>
        <item x="75"/>
        <item x="89"/>
        <item x="235"/>
        <item x="134"/>
        <item x="242"/>
        <item x="60"/>
        <item x="156"/>
        <item x="160"/>
        <item x="71"/>
        <item x="237"/>
        <item x="220"/>
        <item x="116"/>
        <item x="108"/>
        <item x="142"/>
        <item x="175"/>
        <item x="215"/>
        <item x="154"/>
        <item x="147"/>
        <item x="139"/>
        <item x="35"/>
        <item x="194"/>
        <item x="117"/>
        <item x="64"/>
        <item x="87"/>
        <item x="48"/>
        <item x="67"/>
        <item x="173"/>
        <item x="21"/>
        <item x="51"/>
        <item x="112"/>
        <item x="59"/>
        <item x="185"/>
        <item x="54"/>
        <item x="137"/>
        <item x="120"/>
        <item x="122"/>
        <item x="243"/>
        <item x="231"/>
        <item x="86"/>
        <item x="101"/>
        <item x="226"/>
        <item x="115"/>
        <item x="25"/>
        <item x="149"/>
        <item x="68"/>
        <item x="203"/>
        <item x="179"/>
        <item x="4"/>
        <item x="11"/>
        <item x="150"/>
        <item x="10"/>
        <item x="176"/>
        <item x="6"/>
        <item x="127"/>
        <item x="218"/>
        <item x="219"/>
        <item x="141"/>
        <item x="45"/>
        <item x="107"/>
        <item t="default"/>
      </items>
    </pivotField>
    <pivotField compact="0" showAll="0">
      <items count="282">
        <item x="166"/>
        <item x="121"/>
        <item x="254"/>
        <item x="6"/>
        <item x="272"/>
        <item x="98"/>
        <item x="32"/>
        <item x="262"/>
        <item x="197"/>
        <item x="251"/>
        <item x="159"/>
        <item x="185"/>
        <item x="155"/>
        <item x="134"/>
        <item x="204"/>
        <item x="156"/>
        <item x="88"/>
        <item x="190"/>
        <item x="65"/>
        <item x="129"/>
        <item x="182"/>
        <item x="118"/>
        <item x="169"/>
        <item x="133"/>
        <item x="196"/>
        <item x="19"/>
        <item x="0"/>
        <item x="47"/>
        <item x="106"/>
        <item x="102"/>
        <item x="149"/>
        <item x="230"/>
        <item x="193"/>
        <item x="223"/>
        <item x="92"/>
        <item x="66"/>
        <item x="40"/>
        <item x="70"/>
        <item x="217"/>
        <item x="200"/>
        <item x="83"/>
        <item x="126"/>
        <item x="56"/>
        <item x="153"/>
        <item x="97"/>
        <item x="38"/>
        <item x="42"/>
        <item x="131"/>
        <item x="5"/>
        <item x="16"/>
        <item x="124"/>
        <item x="82"/>
        <item x="229"/>
        <item x="210"/>
        <item x="216"/>
        <item x="103"/>
        <item x="141"/>
        <item x="60"/>
        <item x="246"/>
        <item x="25"/>
        <item x="201"/>
        <item x="30"/>
        <item x="50"/>
        <item x="228"/>
        <item x="175"/>
        <item x="269"/>
        <item x="191"/>
        <item x="76"/>
        <item x="146"/>
        <item x="104"/>
        <item x="36"/>
        <item x="112"/>
        <item x="1"/>
        <item x="219"/>
        <item x="109"/>
        <item x="39"/>
        <item x="2"/>
        <item x="172"/>
        <item x="140"/>
        <item x="186"/>
        <item x="14"/>
        <item x="265"/>
        <item x="113"/>
        <item x="99"/>
        <item x="278"/>
        <item x="183"/>
        <item x="240"/>
        <item x="242"/>
        <item x="10"/>
        <item x="123"/>
        <item x="59"/>
        <item x="252"/>
        <item x="122"/>
        <item x="7"/>
        <item x="154"/>
        <item x="125"/>
        <item x="127"/>
        <item x="91"/>
        <item x="271"/>
        <item x="52"/>
        <item x="9"/>
        <item x="245"/>
        <item x="171"/>
        <item x="276"/>
        <item x="79"/>
        <item x="86"/>
        <item x="222"/>
        <item x="120"/>
        <item x="279"/>
        <item x="256"/>
        <item x="232"/>
        <item x="20"/>
        <item x="27"/>
        <item x="35"/>
        <item x="206"/>
        <item x="207"/>
        <item x="273"/>
        <item x="12"/>
        <item x="227"/>
        <item x="58"/>
        <item x="101"/>
        <item x="234"/>
        <item x="199"/>
        <item x="259"/>
        <item x="130"/>
        <item x="173"/>
        <item x="181"/>
        <item x="43"/>
        <item x="261"/>
        <item x="67"/>
        <item x="74"/>
        <item x="18"/>
        <item x="93"/>
        <item x="23"/>
        <item x="28"/>
        <item x="277"/>
        <item x="29"/>
        <item x="213"/>
        <item x="15"/>
        <item x="115"/>
        <item x="72"/>
        <item x="179"/>
        <item x="128"/>
        <item x="139"/>
        <item x="238"/>
        <item x="137"/>
        <item x="116"/>
        <item x="152"/>
        <item x="174"/>
        <item x="135"/>
        <item x="194"/>
        <item x="198"/>
        <item x="34"/>
        <item x="90"/>
        <item x="202"/>
        <item x="81"/>
        <item x="192"/>
        <item x="248"/>
        <item x="184"/>
        <item x="26"/>
        <item x="142"/>
        <item x="266"/>
        <item x="247"/>
        <item x="48"/>
        <item x="45"/>
        <item x="218"/>
        <item x="117"/>
        <item x="255"/>
        <item x="189"/>
        <item x="54"/>
        <item x="180"/>
        <item x="187"/>
        <item x="235"/>
        <item x="63"/>
        <item x="231"/>
        <item x="250"/>
        <item x="44"/>
        <item x="176"/>
        <item x="208"/>
        <item x="71"/>
        <item x="157"/>
        <item x="257"/>
        <item x="21"/>
        <item x="77"/>
        <item x="138"/>
        <item x="68"/>
        <item x="100"/>
        <item x="89"/>
        <item x="211"/>
        <item x="164"/>
        <item x="148"/>
        <item x="239"/>
        <item x="258"/>
        <item x="243"/>
        <item x="212"/>
        <item x="136"/>
        <item x="17"/>
        <item x="178"/>
        <item x="151"/>
        <item x="145"/>
        <item x="111"/>
        <item x="163"/>
        <item x="170"/>
        <item x="221"/>
        <item x="249"/>
        <item x="87"/>
        <item x="244"/>
        <item x="94"/>
        <item x="46"/>
        <item x="147"/>
        <item x="105"/>
        <item x="150"/>
        <item x="158"/>
        <item x="264"/>
        <item x="267"/>
        <item x="49"/>
        <item x="195"/>
        <item x="226"/>
        <item x="167"/>
        <item x="62"/>
        <item x="144"/>
        <item x="188"/>
        <item x="41"/>
        <item x="84"/>
        <item x="22"/>
        <item x="168"/>
        <item x="270"/>
        <item x="53"/>
        <item x="119"/>
        <item x="96"/>
        <item x="95"/>
        <item x="209"/>
        <item x="161"/>
        <item x="114"/>
        <item x="61"/>
        <item x="78"/>
        <item x="260"/>
        <item x="13"/>
        <item x="160"/>
        <item x="225"/>
        <item x="215"/>
        <item x="236"/>
        <item x="4"/>
        <item x="143"/>
        <item x="241"/>
        <item x="165"/>
        <item x="108"/>
        <item x="253"/>
        <item x="3"/>
        <item x="110"/>
        <item x="280"/>
        <item x="24"/>
        <item x="107"/>
        <item x="220"/>
        <item x="85"/>
        <item x="51"/>
        <item x="55"/>
        <item x="37"/>
        <item x="275"/>
        <item x="132"/>
        <item x="203"/>
        <item x="224"/>
        <item x="263"/>
        <item x="8"/>
        <item x="31"/>
        <item x="75"/>
        <item x="64"/>
        <item x="233"/>
        <item x="214"/>
        <item x="268"/>
        <item x="274"/>
        <item x="33"/>
        <item x="237"/>
        <item x="205"/>
        <item x="11"/>
        <item x="80"/>
        <item x="57"/>
        <item x="69"/>
        <item x="73"/>
        <item x="177"/>
        <item x="162"/>
        <item t="default"/>
      </items>
    </pivotField>
    <pivotField compact="0" showAll="0">
      <items count="299">
        <item x="40"/>
        <item x="164"/>
        <item x="249"/>
        <item x="45"/>
        <item x="116"/>
        <item x="212"/>
        <item x="215"/>
        <item x="151"/>
        <item x="36"/>
        <item x="74"/>
        <item x="175"/>
        <item x="122"/>
        <item x="31"/>
        <item x="50"/>
        <item x="160"/>
        <item x="171"/>
        <item x="291"/>
        <item x="255"/>
        <item x="134"/>
        <item x="273"/>
        <item x="206"/>
        <item x="157"/>
        <item x="270"/>
        <item x="12"/>
        <item x="294"/>
        <item x="29"/>
        <item x="136"/>
        <item x="166"/>
        <item x="239"/>
        <item x="99"/>
        <item x="91"/>
        <item x="238"/>
        <item x="63"/>
        <item x="208"/>
        <item x="274"/>
        <item x="158"/>
        <item x="6"/>
        <item x="24"/>
        <item x="58"/>
        <item x="103"/>
        <item x="190"/>
        <item x="276"/>
        <item x="118"/>
        <item x="94"/>
        <item x="17"/>
        <item x="51"/>
        <item x="80"/>
        <item x="182"/>
        <item x="115"/>
        <item x="62"/>
        <item x="193"/>
        <item x="42"/>
        <item x="225"/>
        <item x="147"/>
        <item x="85"/>
        <item x="233"/>
        <item x="117"/>
        <item x="61"/>
        <item x="88"/>
        <item x="174"/>
        <item x="73"/>
        <item x="13"/>
        <item x="196"/>
        <item x="18"/>
        <item x="180"/>
        <item x="48"/>
        <item x="133"/>
        <item x="185"/>
        <item x="167"/>
        <item x="256"/>
        <item x="11"/>
        <item x="25"/>
        <item x="34"/>
        <item x="217"/>
        <item x="82"/>
        <item x="199"/>
        <item x="72"/>
        <item x="142"/>
        <item x="129"/>
        <item x="27"/>
        <item x="265"/>
        <item x="104"/>
        <item x="283"/>
        <item x="5"/>
        <item x="246"/>
        <item x="252"/>
        <item x="219"/>
        <item x="49"/>
        <item x="96"/>
        <item x="251"/>
        <item x="65"/>
        <item x="231"/>
        <item x="23"/>
        <item x="192"/>
        <item x="19"/>
        <item x="3"/>
        <item x="92"/>
        <item x="37"/>
        <item x="278"/>
        <item x="144"/>
        <item x="152"/>
        <item x="102"/>
        <item x="108"/>
        <item x="57"/>
        <item x="261"/>
        <item x="26"/>
        <item x="127"/>
        <item x="264"/>
        <item x="53"/>
        <item x="257"/>
        <item x="123"/>
        <item x="271"/>
        <item x="228"/>
        <item x="130"/>
        <item x="111"/>
        <item x="234"/>
        <item x="226"/>
        <item x="78"/>
        <item x="138"/>
        <item x="237"/>
        <item x="275"/>
        <item x="43"/>
        <item x="68"/>
        <item x="149"/>
        <item x="296"/>
        <item x="165"/>
        <item x="8"/>
        <item x="244"/>
        <item x="286"/>
        <item x="1"/>
        <item x="15"/>
        <item x="33"/>
        <item x="287"/>
        <item x="279"/>
        <item x="162"/>
        <item x="245"/>
        <item x="202"/>
        <item x="266"/>
        <item x="55"/>
        <item x="67"/>
        <item x="140"/>
        <item x="84"/>
        <item x="83"/>
        <item x="240"/>
        <item x="47"/>
        <item x="71"/>
        <item x="141"/>
        <item x="184"/>
        <item x="169"/>
        <item x="44"/>
        <item x="216"/>
        <item x="30"/>
        <item x="163"/>
        <item x="205"/>
        <item x="154"/>
        <item x="292"/>
        <item x="254"/>
        <item x="110"/>
        <item x="243"/>
        <item x="70"/>
        <item x="179"/>
        <item x="222"/>
        <item x="253"/>
        <item x="269"/>
        <item x="16"/>
        <item x="148"/>
        <item x="60"/>
        <item x="189"/>
        <item x="135"/>
        <item x="241"/>
        <item x="87"/>
        <item x="93"/>
        <item x="210"/>
        <item x="56"/>
        <item x="260"/>
        <item x="126"/>
        <item x="247"/>
        <item x="52"/>
        <item x="150"/>
        <item x="263"/>
        <item x="7"/>
        <item x="64"/>
        <item x="173"/>
        <item x="285"/>
        <item x="250"/>
        <item x="198"/>
        <item x="227"/>
        <item x="107"/>
        <item x="106"/>
        <item x="22"/>
        <item x="20"/>
        <item x="281"/>
        <item x="293"/>
        <item x="125"/>
        <item x="284"/>
        <item x="201"/>
        <item x="137"/>
        <item x="121"/>
        <item x="280"/>
        <item x="155"/>
        <item x="38"/>
        <item x="223"/>
        <item x="21"/>
        <item x="213"/>
        <item x="262"/>
        <item x="41"/>
        <item x="236"/>
        <item x="89"/>
        <item x="282"/>
        <item x="177"/>
        <item x="178"/>
        <item x="46"/>
        <item x="268"/>
        <item x="181"/>
        <item x="172"/>
        <item x="229"/>
        <item x="235"/>
        <item x="209"/>
        <item x="124"/>
        <item x="101"/>
        <item x="204"/>
        <item x="114"/>
        <item x="139"/>
        <item x="59"/>
        <item x="230"/>
        <item x="153"/>
        <item x="207"/>
        <item x="218"/>
        <item x="288"/>
        <item x="77"/>
        <item x="128"/>
        <item x="195"/>
        <item x="105"/>
        <item x="221"/>
        <item x="272"/>
        <item x="76"/>
        <item x="203"/>
        <item x="232"/>
        <item x="259"/>
        <item x="197"/>
        <item x="97"/>
        <item x="10"/>
        <item x="224"/>
        <item x="4"/>
        <item x="14"/>
        <item x="81"/>
        <item x="132"/>
        <item x="112"/>
        <item x="109"/>
        <item x="200"/>
        <item x="66"/>
        <item x="161"/>
        <item x="120"/>
        <item x="194"/>
        <item x="2"/>
        <item x="32"/>
        <item x="75"/>
        <item x="211"/>
        <item x="98"/>
        <item x="95"/>
        <item x="267"/>
        <item x="113"/>
        <item x="143"/>
        <item x="0"/>
        <item x="69"/>
        <item x="277"/>
        <item x="220"/>
        <item x="131"/>
        <item x="9"/>
        <item x="290"/>
        <item x="86"/>
        <item x="186"/>
        <item x="54"/>
        <item x="146"/>
        <item x="183"/>
        <item x="297"/>
        <item x="156"/>
        <item x="119"/>
        <item x="176"/>
        <item x="145"/>
        <item x="295"/>
        <item x="258"/>
        <item x="214"/>
        <item x="187"/>
        <item x="188"/>
        <item x="28"/>
        <item x="170"/>
        <item x="35"/>
        <item x="191"/>
        <item x="90"/>
        <item x="242"/>
        <item x="79"/>
        <item x="159"/>
        <item x="39"/>
        <item x="289"/>
        <item x="168"/>
        <item x="248"/>
        <item x="100"/>
        <item t="default"/>
      </items>
    </pivotField>
    <pivotField compact="0" showAll="0">
      <items count="301">
        <item x="2"/>
        <item x="156"/>
        <item x="262"/>
        <item x="91"/>
        <item x="192"/>
        <item x="185"/>
        <item x="202"/>
        <item x="216"/>
        <item x="160"/>
        <item x="274"/>
        <item x="117"/>
        <item x="222"/>
        <item x="272"/>
        <item x="18"/>
        <item x="258"/>
        <item x="270"/>
        <item x="81"/>
        <item x="103"/>
        <item x="253"/>
        <item x="20"/>
        <item x="194"/>
        <item x="265"/>
        <item x="90"/>
        <item x="227"/>
        <item x="34"/>
        <item x="154"/>
        <item x="152"/>
        <item x="161"/>
        <item x="268"/>
        <item x="241"/>
        <item x="138"/>
        <item x="164"/>
        <item x="32"/>
        <item x="17"/>
        <item x="73"/>
        <item x="43"/>
        <item x="183"/>
        <item x="242"/>
        <item x="204"/>
        <item x="276"/>
        <item x="158"/>
        <item x="188"/>
        <item x="266"/>
        <item x="153"/>
        <item x="74"/>
        <item x="41"/>
        <item x="291"/>
        <item x="8"/>
        <item x="62"/>
        <item x="178"/>
        <item x="25"/>
        <item x="220"/>
        <item x="200"/>
        <item x="240"/>
        <item x="127"/>
        <item x="269"/>
        <item x="131"/>
        <item x="243"/>
        <item x="54"/>
        <item x="261"/>
        <item x="42"/>
        <item x="282"/>
        <item x="125"/>
        <item x="58"/>
        <item x="120"/>
        <item x="146"/>
        <item x="228"/>
        <item x="249"/>
        <item x="89"/>
        <item x="237"/>
        <item x="186"/>
        <item x="150"/>
        <item x="234"/>
        <item x="24"/>
        <item x="130"/>
        <item x="277"/>
        <item x="176"/>
        <item x="116"/>
        <item x="134"/>
        <item x="79"/>
        <item x="280"/>
        <item x="55"/>
        <item x="48"/>
        <item x="169"/>
        <item x="92"/>
        <item x="136"/>
        <item x="292"/>
        <item x="72"/>
        <item x="52"/>
        <item x="203"/>
        <item x="53"/>
        <item x="273"/>
        <item x="75"/>
        <item x="27"/>
        <item x="93"/>
        <item x="198"/>
        <item x="145"/>
        <item x="296"/>
        <item x="39"/>
        <item x="36"/>
        <item x="163"/>
        <item x="140"/>
        <item x="229"/>
        <item x="271"/>
        <item x="30"/>
        <item x="16"/>
        <item x="170"/>
        <item x="6"/>
        <item x="151"/>
        <item x="40"/>
        <item x="14"/>
        <item x="187"/>
        <item x="98"/>
        <item x="49"/>
        <item x="232"/>
        <item x="133"/>
        <item x="245"/>
        <item x="88"/>
        <item x="184"/>
        <item x="281"/>
        <item x="3"/>
        <item x="189"/>
        <item x="19"/>
        <item x="173"/>
        <item x="115"/>
        <item x="66"/>
        <item x="172"/>
        <item x="197"/>
        <item x="64"/>
        <item x="196"/>
        <item x="80"/>
        <item x="181"/>
        <item x="231"/>
        <item x="60"/>
        <item x="57"/>
        <item x="218"/>
        <item x="193"/>
        <item x="175"/>
        <item x="267"/>
        <item x="255"/>
        <item x="162"/>
        <item x="26"/>
        <item x="82"/>
        <item x="104"/>
        <item x="28"/>
        <item x="168"/>
        <item x="223"/>
        <item x="126"/>
        <item x="238"/>
        <item x="250"/>
        <item x="213"/>
        <item x="35"/>
        <item x="97"/>
        <item x="205"/>
        <item x="107"/>
        <item x="190"/>
        <item x="15"/>
        <item x="45"/>
        <item x="209"/>
        <item x="289"/>
        <item x="85"/>
        <item x="83"/>
        <item x="278"/>
        <item x="37"/>
        <item x="46"/>
        <item x="259"/>
        <item x="108"/>
        <item x="257"/>
        <item x="251"/>
        <item x="10"/>
        <item x="246"/>
        <item x="56"/>
        <item x="70"/>
        <item x="199"/>
        <item x="283"/>
        <item x="182"/>
        <item x="221"/>
        <item x="263"/>
        <item x="129"/>
        <item x="11"/>
        <item x="297"/>
        <item x="285"/>
        <item x="191"/>
        <item x="260"/>
        <item x="69"/>
        <item x="155"/>
        <item x="119"/>
        <item x="31"/>
        <item x="86"/>
        <item x="275"/>
        <item x="128"/>
        <item x="174"/>
        <item x="180"/>
        <item x="293"/>
        <item x="149"/>
        <item x="110"/>
        <item x="147"/>
        <item x="287"/>
        <item x="47"/>
        <item x="111"/>
        <item x="51"/>
        <item x="279"/>
        <item x="247"/>
        <item x="217"/>
        <item x="12"/>
        <item x="7"/>
        <item x="78"/>
        <item x="50"/>
        <item x="77"/>
        <item x="171"/>
        <item x="100"/>
        <item x="256"/>
        <item x="132"/>
        <item x="29"/>
        <item x="84"/>
        <item x="195"/>
        <item x="290"/>
        <item x="206"/>
        <item x="143"/>
        <item x="144"/>
        <item x="224"/>
        <item x="141"/>
        <item x="211"/>
        <item x="1"/>
        <item x="165"/>
        <item x="148"/>
        <item x="295"/>
        <item x="94"/>
        <item x="294"/>
        <item x="233"/>
        <item x="109"/>
        <item x="177"/>
        <item x="299"/>
        <item x="230"/>
        <item x="137"/>
        <item x="286"/>
        <item x="68"/>
        <item x="159"/>
        <item x="114"/>
        <item x="235"/>
        <item x="252"/>
        <item x="123"/>
        <item x="0"/>
        <item x="207"/>
        <item x="288"/>
        <item x="33"/>
        <item x="226"/>
        <item x="113"/>
        <item x="236"/>
        <item x="101"/>
        <item x="96"/>
        <item x="71"/>
        <item x="102"/>
        <item x="254"/>
        <item x="298"/>
        <item x="122"/>
        <item x="61"/>
        <item x="248"/>
        <item x="4"/>
        <item x="210"/>
        <item x="95"/>
        <item x="76"/>
        <item x="9"/>
        <item x="118"/>
        <item x="67"/>
        <item x="23"/>
        <item x="44"/>
        <item x="106"/>
        <item x="244"/>
        <item x="139"/>
        <item x="142"/>
        <item x="166"/>
        <item x="215"/>
        <item x="105"/>
        <item x="157"/>
        <item x="201"/>
        <item x="284"/>
        <item x="239"/>
        <item x="208"/>
        <item x="99"/>
        <item x="5"/>
        <item x="13"/>
        <item x="59"/>
        <item x="219"/>
        <item x="135"/>
        <item x="63"/>
        <item x="38"/>
        <item x="22"/>
        <item x="112"/>
        <item x="212"/>
        <item x="214"/>
        <item x="87"/>
        <item x="21"/>
        <item x="167"/>
        <item x="65"/>
        <item x="179"/>
        <item x="264"/>
        <item x="121"/>
        <item x="124"/>
        <item x="225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numFmtId="165" showAll="0">
      <items count="301">
        <item x="224"/>
        <item x="65"/>
        <item x="201"/>
        <item x="23"/>
        <item x="63"/>
        <item x="147"/>
        <item x="137"/>
        <item x="195"/>
        <item x="217"/>
        <item x="135"/>
        <item x="106"/>
        <item x="85"/>
        <item x="286"/>
        <item x="208"/>
        <item x="212"/>
        <item x="98"/>
        <item x="97"/>
        <item x="61"/>
        <item x="252"/>
        <item x="104"/>
        <item x="254"/>
        <item x="22"/>
        <item x="207"/>
        <item x="125"/>
        <item x="180"/>
        <item x="105"/>
        <item x="179"/>
        <item x="251"/>
        <item x="31"/>
        <item x="67"/>
        <item x="260"/>
        <item x="9"/>
        <item x="79"/>
        <item x="95"/>
        <item x="248"/>
        <item x="45"/>
        <item x="232"/>
        <item x="264"/>
        <item x="37"/>
        <item x="219"/>
        <item x="166"/>
        <item x="119"/>
        <item x="186"/>
        <item x="165"/>
        <item x="74"/>
        <item x="10"/>
        <item x="111"/>
        <item x="276"/>
        <item x="76"/>
        <item x="5"/>
        <item x="191"/>
        <item x="283"/>
        <item x="84"/>
        <item x="275"/>
        <item x="33"/>
        <item x="295"/>
        <item x="187"/>
        <item x="55"/>
        <item x="13"/>
        <item x="3"/>
        <item x="99"/>
        <item x="261"/>
        <item x="73"/>
        <item x="90"/>
        <item x="243"/>
        <item x="56"/>
        <item x="19"/>
        <item x="222"/>
        <item x="109"/>
        <item x="236"/>
        <item x="15"/>
        <item x="82"/>
        <item x="244"/>
        <item x="175"/>
        <item x="238"/>
        <item x="167"/>
        <item x="49"/>
        <item x="162"/>
        <item x="0"/>
        <item x="285"/>
        <item x="141"/>
        <item x="100"/>
        <item x="229"/>
        <item x="68"/>
        <item x="59"/>
        <item x="78"/>
        <item x="86"/>
        <item x="124"/>
        <item x="281"/>
        <item x="196"/>
        <item x="213"/>
        <item x="11"/>
        <item x="155"/>
        <item x="210"/>
        <item x="177"/>
        <item x="129"/>
        <item x="221"/>
        <item x="144"/>
        <item x="150"/>
        <item x="174"/>
        <item x="284"/>
        <item x="280"/>
        <item x="102"/>
        <item x="287"/>
        <item x="101"/>
        <item x="296"/>
        <item x="271"/>
        <item x="44"/>
        <item x="113"/>
        <item x="157"/>
        <item x="197"/>
        <item x="218"/>
        <item x="173"/>
        <item x="215"/>
        <item x="214"/>
        <item x="279"/>
        <item x="170"/>
        <item x="21"/>
        <item x="126"/>
        <item x="172"/>
        <item x="132"/>
        <item x="122"/>
        <item x="48"/>
        <item x="38"/>
        <item x="71"/>
        <item x="88"/>
        <item x="257"/>
        <item x="80"/>
        <item x="46"/>
        <item x="14"/>
        <item x="188"/>
        <item x="211"/>
        <item x="114"/>
        <item x="47"/>
        <item x="145"/>
        <item x="121"/>
        <item x="70"/>
        <item x="117"/>
        <item x="178"/>
        <item x="282"/>
        <item x="128"/>
        <item x="278"/>
        <item x="294"/>
        <item x="298"/>
        <item x="226"/>
        <item x="133"/>
        <item x="273"/>
        <item x="225"/>
        <item x="146"/>
        <item x="87"/>
        <item x="139"/>
        <item x="142"/>
        <item x="81"/>
        <item x="190"/>
        <item x="107"/>
        <item x="171"/>
        <item x="209"/>
        <item x="112"/>
        <item x="118"/>
        <item x="189"/>
        <item x="51"/>
        <item x="206"/>
        <item x="72"/>
        <item x="239"/>
        <item x="123"/>
        <item x="96"/>
        <item x="148"/>
        <item x="94"/>
        <item x="247"/>
        <item x="77"/>
        <item x="199"/>
        <item x="159"/>
        <item x="7"/>
        <item x="30"/>
        <item x="193"/>
        <item x="233"/>
        <item x="267"/>
        <item x="110"/>
        <item x="230"/>
        <item x="1"/>
        <item x="250"/>
        <item x="4"/>
        <item x="131"/>
        <item x="182"/>
        <item x="39"/>
        <item x="290"/>
        <item x="149"/>
        <item x="156"/>
        <item x="36"/>
        <item x="168"/>
        <item x="288"/>
        <item x="235"/>
        <item x="249"/>
        <item x="69"/>
        <item x="263"/>
        <item x="108"/>
        <item x="143"/>
        <item x="181"/>
        <item x="259"/>
        <item x="194"/>
        <item x="256"/>
        <item x="50"/>
        <item x="16"/>
        <item x="299"/>
        <item x="83"/>
        <item x="297"/>
        <item x="32"/>
        <item x="115"/>
        <item x="29"/>
        <item x="246"/>
        <item x="42"/>
        <item x="223"/>
        <item x="66"/>
        <item x="12"/>
        <item x="205"/>
        <item x="183"/>
        <item x="35"/>
        <item x="160"/>
        <item x="151"/>
        <item x="237"/>
        <item x="140"/>
        <item x="293"/>
        <item x="134"/>
        <item x="289"/>
        <item x="116"/>
        <item x="24"/>
        <item x="64"/>
        <item x="262"/>
        <item x="53"/>
        <item x="200"/>
        <item x="26"/>
        <item x="40"/>
        <item x="93"/>
        <item x="163"/>
        <item x="28"/>
        <item x="184"/>
        <item x="234"/>
        <item x="231"/>
        <item x="103"/>
        <item x="60"/>
        <item x="8"/>
        <item x="270"/>
        <item x="154"/>
        <item x="255"/>
        <item x="245"/>
        <item x="153"/>
        <item x="240"/>
        <item x="57"/>
        <item x="2"/>
        <item x="266"/>
        <item x="269"/>
        <item x="34"/>
        <item x="75"/>
        <item x="228"/>
        <item x="6"/>
        <item x="120"/>
        <item x="136"/>
        <item x="62"/>
        <item x="27"/>
        <item x="130"/>
        <item x="198"/>
        <item x="202"/>
        <item x="58"/>
        <item x="220"/>
        <item x="277"/>
        <item x="292"/>
        <item x="92"/>
        <item x="41"/>
        <item x="203"/>
        <item x="89"/>
        <item x="43"/>
        <item x="52"/>
        <item x="169"/>
        <item x="25"/>
        <item x="138"/>
        <item x="176"/>
        <item x="164"/>
        <item x="242"/>
        <item x="20"/>
        <item x="54"/>
        <item x="258"/>
        <item x="192"/>
        <item x="17"/>
        <item x="253"/>
        <item x="241"/>
        <item x="227"/>
        <item x="161"/>
        <item x="127"/>
        <item x="216"/>
        <item x="291"/>
        <item x="204"/>
        <item x="152"/>
        <item x="158"/>
        <item x="91"/>
        <item x="272"/>
        <item x="265"/>
        <item x="268"/>
        <item x="274"/>
        <item x="185"/>
        <item x="18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hares" fld="7" baseField="0" baseItem="0"/>
    <dataField name="Sum of Likes" fld="6" baseField="0" baseItem="0"/>
    <dataField name="Sum of Comments" fld="8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2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E2:G14" firstHeaderRow="0" firstDataRow="1" firstDataCol="1"/>
  <pivotFields count="14">
    <pivotField compact="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64" showAll="0">
      <items count="211">
        <item x="122"/>
        <item x="125"/>
        <item x="25"/>
        <item x="133"/>
        <item x="0"/>
        <item x="29"/>
        <item x="146"/>
        <item x="9"/>
        <item x="49"/>
        <item x="86"/>
        <item x="166"/>
        <item x="99"/>
        <item x="196"/>
        <item x="181"/>
        <item x="91"/>
        <item x="40"/>
        <item x="201"/>
        <item x="97"/>
        <item x="162"/>
        <item x="13"/>
        <item x="78"/>
        <item x="20"/>
        <item x="194"/>
        <item x="180"/>
        <item x="23"/>
        <item x="75"/>
        <item x="128"/>
        <item x="206"/>
        <item x="43"/>
        <item x="150"/>
        <item x="31"/>
        <item x="90"/>
        <item x="12"/>
        <item x="5"/>
        <item x="21"/>
        <item x="124"/>
        <item x="118"/>
        <item x="83"/>
        <item x="191"/>
        <item x="175"/>
        <item x="18"/>
        <item x="35"/>
        <item x="136"/>
        <item x="38"/>
        <item x="204"/>
        <item x="193"/>
        <item x="131"/>
        <item x="4"/>
        <item x="33"/>
        <item x="2"/>
        <item x="163"/>
        <item x="82"/>
        <item x="37"/>
        <item x="120"/>
        <item x="103"/>
        <item x="179"/>
        <item x="152"/>
        <item x="172"/>
        <item x="113"/>
        <item x="10"/>
        <item x="144"/>
        <item x="177"/>
        <item x="16"/>
        <item x="84"/>
        <item x="189"/>
        <item x="1"/>
        <item x="159"/>
        <item x="3"/>
        <item x="17"/>
        <item x="95"/>
        <item x="209"/>
        <item x="19"/>
        <item x="7"/>
        <item x="119"/>
        <item x="105"/>
        <item x="26"/>
        <item x="185"/>
        <item x="135"/>
        <item x="174"/>
        <item x="147"/>
        <item x="114"/>
        <item x="6"/>
        <item x="199"/>
        <item x="77"/>
        <item x="190"/>
        <item x="142"/>
        <item x="202"/>
        <item x="100"/>
        <item x="88"/>
        <item x="80"/>
        <item x="64"/>
        <item x="126"/>
        <item x="60"/>
        <item x="93"/>
        <item x="130"/>
        <item x="67"/>
        <item x="155"/>
        <item x="45"/>
        <item x="176"/>
        <item x="121"/>
        <item x="137"/>
        <item x="72"/>
        <item x="141"/>
        <item x="164"/>
        <item x="92"/>
        <item x="170"/>
        <item x="138"/>
        <item x="187"/>
        <item x="110"/>
        <item x="96"/>
        <item x="104"/>
        <item x="117"/>
        <item x="14"/>
        <item x="41"/>
        <item x="102"/>
        <item x="203"/>
        <item x="55"/>
        <item x="30"/>
        <item x="53"/>
        <item x="186"/>
        <item x="167"/>
        <item x="62"/>
        <item x="139"/>
        <item x="101"/>
        <item x="47"/>
        <item x="69"/>
        <item x="134"/>
        <item x="28"/>
        <item x="109"/>
        <item x="145"/>
        <item x="183"/>
        <item x="46"/>
        <item x="197"/>
        <item x="140"/>
        <item x="87"/>
        <item x="132"/>
        <item x="151"/>
        <item x="182"/>
        <item x="94"/>
        <item x="36"/>
        <item x="34"/>
        <item x="207"/>
        <item x="24"/>
        <item x="50"/>
        <item x="178"/>
        <item x="98"/>
        <item x="44"/>
        <item x="81"/>
        <item x="15"/>
        <item x="111"/>
        <item x="123"/>
        <item x="57"/>
        <item x="107"/>
        <item x="165"/>
        <item x="42"/>
        <item x="173"/>
        <item x="76"/>
        <item x="63"/>
        <item x="188"/>
        <item x="116"/>
        <item x="89"/>
        <item x="74"/>
        <item x="184"/>
        <item x="171"/>
        <item x="195"/>
        <item x="143"/>
        <item x="129"/>
        <item x="168"/>
        <item x="32"/>
        <item x="169"/>
        <item x="127"/>
        <item x="161"/>
        <item x="85"/>
        <item x="112"/>
        <item x="160"/>
        <item x="61"/>
        <item x="59"/>
        <item x="58"/>
        <item x="56"/>
        <item x="54"/>
        <item x="51"/>
        <item x="48"/>
        <item x="39"/>
        <item x="27"/>
        <item x="22"/>
        <item x="11"/>
        <item x="8"/>
        <item x="71"/>
        <item x="68"/>
        <item x="208"/>
        <item x="205"/>
        <item x="200"/>
        <item x="198"/>
        <item x="192"/>
        <item x="108"/>
        <item x="79"/>
        <item x="158"/>
        <item x="154"/>
        <item x="149"/>
        <item x="148"/>
        <item x="153"/>
        <item x="73"/>
        <item x="52"/>
        <item x="66"/>
        <item x="157"/>
        <item x="115"/>
        <item x="106"/>
        <item x="70"/>
        <item x="65"/>
        <item x="156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axis="axisRow" compact="0" showAll="0">
      <items count="12">
        <item x="8"/>
        <item x="3"/>
        <item x="0"/>
        <item x="2"/>
        <item x="7"/>
        <item x="4"/>
        <item x="10"/>
        <item x="5"/>
        <item x="9"/>
        <item x="6"/>
        <item x="1"/>
        <item t="default"/>
      </items>
    </pivotField>
    <pivotField compact="0" showAll="0">
      <items count="12">
        <item x="1"/>
        <item x="4"/>
        <item x="5"/>
        <item x="0"/>
        <item x="2"/>
        <item x="8"/>
        <item x="9"/>
        <item x="3"/>
        <item x="6"/>
        <item x="10"/>
        <item x="7"/>
        <item t="default"/>
      </items>
    </pivotField>
    <pivotField dataField="1" compact="0" showAll="0">
      <items count="297">
        <item x="90"/>
        <item x="220"/>
        <item x="124"/>
        <item x="222"/>
        <item x="74"/>
        <item x="73"/>
        <item x="259"/>
        <item x="116"/>
        <item x="241"/>
        <item x="184"/>
        <item x="23"/>
        <item x="79"/>
        <item x="199"/>
        <item x="65"/>
        <item x="146"/>
        <item x="81"/>
        <item x="154"/>
        <item x="98"/>
        <item x="193"/>
        <item x="97"/>
        <item x="55"/>
        <item x="215"/>
        <item x="230"/>
        <item x="85"/>
        <item x="158"/>
        <item x="136"/>
        <item x="186"/>
        <item x="192"/>
        <item x="260"/>
        <item x="45"/>
        <item x="176"/>
        <item x="63"/>
        <item x="148"/>
        <item x="277"/>
        <item x="249"/>
        <item x="185"/>
        <item x="283"/>
        <item x="258"/>
        <item x="105"/>
        <item x="279"/>
        <item x="134"/>
        <item x="37"/>
        <item x="227"/>
        <item x="49"/>
        <item x="210"/>
        <item x="178"/>
        <item x="3"/>
        <item x="19"/>
        <item x="250"/>
        <item x="10"/>
        <item x="61"/>
        <item x="2"/>
        <item x="31"/>
        <item x="292"/>
        <item x="48"/>
        <item x="205"/>
        <item x="252"/>
        <item x="206"/>
        <item x="236"/>
        <item x="82"/>
        <item x="130"/>
        <item x="118"/>
        <item x="280"/>
        <item x="145"/>
        <item x="32"/>
        <item x="189"/>
        <item x="200"/>
        <item x="67"/>
        <item x="56"/>
        <item x="268"/>
        <item x="173"/>
        <item x="181"/>
        <item x="103"/>
        <item x="269"/>
        <item x="273"/>
        <item x="278"/>
        <item x="104"/>
        <item x="177"/>
        <item x="168"/>
        <item x="246"/>
        <item x="110"/>
        <item x="160"/>
        <item x="144"/>
        <item x="211"/>
        <item x="15"/>
        <item x="194"/>
        <item x="152"/>
        <item x="9"/>
        <item x="14"/>
        <item x="163"/>
        <item x="247"/>
        <item x="95"/>
        <item x="22"/>
        <item x="84"/>
        <item x="291"/>
        <item x="42"/>
        <item x="88"/>
        <item x="271"/>
        <item x="171"/>
        <item x="195"/>
        <item x="282"/>
        <item x="164"/>
        <item x="11"/>
        <item x="216"/>
        <item x="190"/>
        <item x="198"/>
        <item x="72"/>
        <item x="170"/>
        <item x="219"/>
        <item x="34"/>
        <item x="262"/>
        <item x="80"/>
        <item x="33"/>
        <item x="128"/>
        <item x="76"/>
        <item x="217"/>
        <item x="125"/>
        <item x="132"/>
        <item x="108"/>
        <item x="13"/>
        <item x="5"/>
        <item x="100"/>
        <item x="172"/>
        <item x="68"/>
        <item x="86"/>
        <item x="264"/>
        <item x="46"/>
        <item x="30"/>
        <item x="284"/>
        <item x="242"/>
        <item x="256"/>
        <item x="153"/>
        <item x="36"/>
        <item x="8"/>
        <item x="187"/>
        <item x="0"/>
        <item x="99"/>
        <item x="39"/>
        <item x="235"/>
        <item x="234"/>
        <item x="238"/>
        <item x="151"/>
        <item x="78"/>
        <item x="140"/>
        <item x="133"/>
        <item x="62"/>
        <item x="115"/>
        <item x="255"/>
        <item x="24"/>
        <item x="175"/>
        <item x="214"/>
        <item x="143"/>
        <item x="267"/>
        <item x="276"/>
        <item x="20"/>
        <item x="162"/>
        <item x="275"/>
        <item x="53"/>
        <item x="232"/>
        <item x="101"/>
        <item x="265"/>
        <item x="43"/>
        <item x="70"/>
        <item x="188"/>
        <item x="47"/>
        <item x="106"/>
        <item x="251"/>
        <item x="165"/>
        <item x="102"/>
        <item x="91"/>
        <item x="218"/>
        <item x="137"/>
        <item x="16"/>
        <item x="119"/>
        <item x="59"/>
        <item x="191"/>
        <item x="208"/>
        <item x="226"/>
        <item x="207"/>
        <item x="114"/>
        <item x="248"/>
        <item x="112"/>
        <item x="131"/>
        <item x="123"/>
        <item x="139"/>
        <item x="127"/>
        <item x="240"/>
        <item x="225"/>
        <item x="149"/>
        <item x="121"/>
        <item x="166"/>
        <item x="281"/>
        <item x="44"/>
        <item x="41"/>
        <item x="197"/>
        <item x="93"/>
        <item x="209"/>
        <item x="66"/>
        <item x="179"/>
        <item x="71"/>
        <item x="270"/>
        <item x="25"/>
        <item x="113"/>
        <item x="58"/>
        <item x="155"/>
        <item x="161"/>
        <item x="213"/>
        <item x="17"/>
        <item x="159"/>
        <item x="239"/>
        <item x="129"/>
        <item x="180"/>
        <item x="290"/>
        <item x="107"/>
        <item x="169"/>
        <item x="40"/>
        <item x="21"/>
        <item x="89"/>
        <item x="212"/>
        <item x="245"/>
        <item x="221"/>
        <item x="257"/>
        <item x="51"/>
        <item x="272"/>
        <item x="38"/>
        <item x="150"/>
        <item x="203"/>
        <item x="77"/>
        <item x="135"/>
        <item x="35"/>
        <item x="224"/>
        <item x="182"/>
        <item x="7"/>
        <item x="64"/>
        <item x="109"/>
        <item x="204"/>
        <item x="147"/>
        <item x="294"/>
        <item x="261"/>
        <item x="274"/>
        <item x="183"/>
        <item x="69"/>
        <item x="94"/>
        <item x="83"/>
        <item x="293"/>
        <item x="244"/>
        <item x="122"/>
        <item x="243"/>
        <item x="157"/>
        <item x="202"/>
        <item x="27"/>
        <item x="75"/>
        <item x="263"/>
        <item x="231"/>
        <item x="1"/>
        <item x="54"/>
        <item x="196"/>
        <item x="26"/>
        <item x="288"/>
        <item x="141"/>
        <item x="286"/>
        <item x="228"/>
        <item x="138"/>
        <item x="92"/>
        <item x="174"/>
        <item x="120"/>
        <item x="229"/>
        <item x="60"/>
        <item x="167"/>
        <item x="96"/>
        <item x="6"/>
        <item x="117"/>
        <item x="18"/>
        <item x="28"/>
        <item x="52"/>
        <item x="142"/>
        <item x="4"/>
        <item x="254"/>
        <item x="156"/>
        <item x="287"/>
        <item x="50"/>
        <item x="253"/>
        <item x="223"/>
        <item x="126"/>
        <item x="285"/>
        <item x="266"/>
        <item x="87"/>
        <item x="295"/>
        <item x="237"/>
        <item x="12"/>
        <item x="111"/>
        <item x="289"/>
        <item x="233"/>
        <item x="201"/>
        <item x="29"/>
        <item x="57"/>
        <item t="default"/>
      </items>
    </pivotField>
    <pivotField compact="0" showAll="0">
      <items count="272">
        <item x="93"/>
        <item x="195"/>
        <item x="137"/>
        <item x="15"/>
        <item x="28"/>
        <item x="188"/>
        <item x="8"/>
        <item x="223"/>
        <item x="71"/>
        <item x="90"/>
        <item x="196"/>
        <item x="78"/>
        <item x="80"/>
        <item x="81"/>
        <item x="25"/>
        <item x="254"/>
        <item x="168"/>
        <item x="107"/>
        <item x="218"/>
        <item x="16"/>
        <item x="86"/>
        <item x="173"/>
        <item x="128"/>
        <item x="169"/>
        <item x="123"/>
        <item x="20"/>
        <item x="152"/>
        <item x="59"/>
        <item x="178"/>
        <item x="241"/>
        <item x="259"/>
        <item x="82"/>
        <item x="22"/>
        <item x="154"/>
        <item x="1"/>
        <item x="68"/>
        <item x="65"/>
        <item x="131"/>
        <item x="208"/>
        <item x="134"/>
        <item x="214"/>
        <item x="46"/>
        <item x="170"/>
        <item x="145"/>
        <item x="219"/>
        <item x="143"/>
        <item x="182"/>
        <item x="39"/>
        <item x="57"/>
        <item x="242"/>
        <item x="200"/>
        <item x="30"/>
        <item x="2"/>
        <item x="32"/>
        <item x="50"/>
        <item x="98"/>
        <item x="239"/>
        <item x="119"/>
        <item x="235"/>
        <item x="193"/>
        <item x="191"/>
        <item x="41"/>
        <item x="105"/>
        <item x="5"/>
        <item x="163"/>
        <item x="61"/>
        <item x="24"/>
        <item x="203"/>
        <item x="160"/>
        <item x="136"/>
        <item x="40"/>
        <item x="74"/>
        <item x="6"/>
        <item x="232"/>
        <item x="264"/>
        <item x="4"/>
        <item x="246"/>
        <item x="31"/>
        <item x="237"/>
        <item x="55"/>
        <item x="3"/>
        <item x="115"/>
        <item x="233"/>
        <item x="47"/>
        <item x="72"/>
        <item x="192"/>
        <item x="199"/>
        <item x="91"/>
        <item x="161"/>
        <item x="146"/>
        <item x="142"/>
        <item x="121"/>
        <item x="234"/>
        <item x="207"/>
        <item x="51"/>
        <item x="147"/>
        <item x="95"/>
        <item x="181"/>
        <item x="62"/>
        <item x="269"/>
        <item x="127"/>
        <item x="37"/>
        <item x="100"/>
        <item x="101"/>
        <item x="238"/>
        <item x="12"/>
        <item x="99"/>
        <item x="53"/>
        <item x="204"/>
        <item x="247"/>
        <item x="164"/>
        <item x="69"/>
        <item x="56"/>
        <item x="10"/>
        <item x="186"/>
        <item x="111"/>
        <item x="38"/>
        <item x="144"/>
        <item x="256"/>
        <item x="88"/>
        <item x="94"/>
        <item x="19"/>
        <item x="108"/>
        <item x="231"/>
        <item x="244"/>
        <item x="216"/>
        <item x="224"/>
        <item x="66"/>
        <item x="92"/>
        <item x="194"/>
        <item x="266"/>
        <item x="209"/>
        <item x="129"/>
        <item x="122"/>
        <item x="126"/>
        <item x="221"/>
        <item x="9"/>
        <item x="110"/>
        <item x="104"/>
        <item x="197"/>
        <item x="215"/>
        <item x="140"/>
        <item x="106"/>
        <item x="125"/>
        <item x="18"/>
        <item x="162"/>
        <item x="158"/>
        <item x="227"/>
        <item x="187"/>
        <item x="135"/>
        <item x="270"/>
        <item x="171"/>
        <item x="252"/>
        <item x="17"/>
        <item x="225"/>
        <item x="83"/>
        <item x="87"/>
        <item x="34"/>
        <item x="148"/>
        <item x="7"/>
        <item x="60"/>
        <item x="139"/>
        <item x="249"/>
        <item x="267"/>
        <item x="175"/>
        <item x="165"/>
        <item x="85"/>
        <item x="23"/>
        <item x="211"/>
        <item x="184"/>
        <item x="112"/>
        <item x="36"/>
        <item x="13"/>
        <item x="251"/>
        <item x="228"/>
        <item x="261"/>
        <item x="117"/>
        <item x="141"/>
        <item x="174"/>
        <item x="130"/>
        <item x="260"/>
        <item x="48"/>
        <item x="172"/>
        <item x="79"/>
        <item x="245"/>
        <item x="240"/>
        <item x="230"/>
        <item x="113"/>
        <item x="138"/>
        <item x="176"/>
        <item x="29"/>
        <item x="42"/>
        <item x="198"/>
        <item x="229"/>
        <item x="0"/>
        <item x="212"/>
        <item x="243"/>
        <item x="250"/>
        <item x="268"/>
        <item x="180"/>
        <item x="201"/>
        <item x="67"/>
        <item x="43"/>
        <item x="75"/>
        <item x="217"/>
        <item x="265"/>
        <item x="63"/>
        <item x="263"/>
        <item x="257"/>
        <item x="183"/>
        <item x="255"/>
        <item x="44"/>
        <item x="124"/>
        <item x="248"/>
        <item x="166"/>
        <item x="52"/>
        <item x="77"/>
        <item x="189"/>
        <item x="70"/>
        <item x="253"/>
        <item x="58"/>
        <item x="133"/>
        <item x="213"/>
        <item x="155"/>
        <item x="114"/>
        <item x="159"/>
        <item x="205"/>
        <item x="150"/>
        <item x="210"/>
        <item x="132"/>
        <item x="151"/>
        <item x="73"/>
        <item x="45"/>
        <item x="258"/>
        <item x="89"/>
        <item x="179"/>
        <item x="103"/>
        <item x="35"/>
        <item x="120"/>
        <item x="149"/>
        <item x="262"/>
        <item x="11"/>
        <item x="21"/>
        <item x="202"/>
        <item x="190"/>
        <item x="84"/>
        <item x="76"/>
        <item x="26"/>
        <item x="109"/>
        <item x="33"/>
        <item x="220"/>
        <item x="206"/>
        <item x="185"/>
        <item x="167"/>
        <item x="54"/>
        <item x="222"/>
        <item x="226"/>
        <item x="97"/>
        <item x="102"/>
        <item x="236"/>
        <item x="177"/>
        <item x="64"/>
        <item x="116"/>
        <item x="156"/>
        <item x="49"/>
        <item x="96"/>
        <item x="157"/>
        <item x="14"/>
        <item x="118"/>
        <item x="27"/>
        <item x="153"/>
        <item t="default"/>
      </items>
    </pivotField>
    <pivotField compact="0" showAll="0">
      <items count="247">
        <item x="103"/>
        <item x="73"/>
        <item x="3"/>
        <item x="192"/>
        <item x="9"/>
        <item x="113"/>
        <item x="27"/>
        <item x="105"/>
        <item x="74"/>
        <item x="26"/>
        <item x="81"/>
        <item x="28"/>
        <item x="12"/>
        <item x="118"/>
        <item x="119"/>
        <item x="62"/>
        <item x="30"/>
        <item x="106"/>
        <item x="57"/>
        <item x="36"/>
        <item x="241"/>
        <item x="229"/>
        <item x="99"/>
        <item x="63"/>
        <item x="114"/>
        <item x="16"/>
        <item x="128"/>
        <item x="20"/>
        <item x="70"/>
        <item x="100"/>
        <item x="76"/>
        <item x="183"/>
        <item x="24"/>
        <item x="221"/>
        <item x="151"/>
        <item x="184"/>
        <item x="162"/>
        <item x="104"/>
        <item x="158"/>
        <item x="50"/>
        <item x="96"/>
        <item x="207"/>
        <item x="140"/>
        <item x="39"/>
        <item x="208"/>
        <item x="102"/>
        <item x="193"/>
        <item x="53"/>
        <item x="84"/>
        <item x="202"/>
        <item x="19"/>
        <item x="201"/>
        <item x="69"/>
        <item x="204"/>
        <item x="88"/>
        <item x="238"/>
        <item x="40"/>
        <item x="0"/>
        <item x="31"/>
        <item x="126"/>
        <item x="216"/>
        <item x="77"/>
        <item x="66"/>
        <item x="22"/>
        <item x="172"/>
        <item x="131"/>
        <item x="47"/>
        <item x="177"/>
        <item x="228"/>
        <item x="186"/>
        <item x="123"/>
        <item x="79"/>
        <item x="170"/>
        <item x="94"/>
        <item x="32"/>
        <item x="174"/>
        <item x="210"/>
        <item x="182"/>
        <item x="14"/>
        <item x="167"/>
        <item x="232"/>
        <item x="55"/>
        <item x="133"/>
        <item x="157"/>
        <item x="34"/>
        <item x="144"/>
        <item x="65"/>
        <item x="189"/>
        <item x="56"/>
        <item x="2"/>
        <item x="145"/>
        <item x="92"/>
        <item x="159"/>
        <item x="98"/>
        <item x="8"/>
        <item x="85"/>
        <item x="225"/>
        <item x="244"/>
        <item x="168"/>
        <item x="143"/>
        <item x="196"/>
        <item x="95"/>
        <item x="169"/>
        <item x="166"/>
        <item x="200"/>
        <item x="43"/>
        <item x="129"/>
        <item x="125"/>
        <item x="214"/>
        <item x="239"/>
        <item x="161"/>
        <item x="171"/>
        <item x="148"/>
        <item x="165"/>
        <item x="227"/>
        <item x="78"/>
        <item x="195"/>
        <item x="152"/>
        <item x="230"/>
        <item x="213"/>
        <item x="58"/>
        <item x="187"/>
        <item x="181"/>
        <item x="109"/>
        <item x="191"/>
        <item x="163"/>
        <item x="155"/>
        <item x="18"/>
        <item x="146"/>
        <item x="212"/>
        <item x="38"/>
        <item x="245"/>
        <item x="82"/>
        <item x="236"/>
        <item x="49"/>
        <item x="223"/>
        <item x="178"/>
        <item x="17"/>
        <item x="41"/>
        <item x="240"/>
        <item x="234"/>
        <item x="110"/>
        <item x="46"/>
        <item x="130"/>
        <item x="5"/>
        <item x="23"/>
        <item x="37"/>
        <item x="124"/>
        <item x="44"/>
        <item x="72"/>
        <item x="197"/>
        <item x="121"/>
        <item x="222"/>
        <item x="83"/>
        <item x="15"/>
        <item x="209"/>
        <item x="199"/>
        <item x="80"/>
        <item x="233"/>
        <item x="90"/>
        <item x="188"/>
        <item x="52"/>
        <item x="198"/>
        <item x="138"/>
        <item x="7"/>
        <item x="136"/>
        <item x="111"/>
        <item x="132"/>
        <item x="190"/>
        <item x="164"/>
        <item x="97"/>
        <item x="135"/>
        <item x="153"/>
        <item x="1"/>
        <item x="217"/>
        <item x="180"/>
        <item x="42"/>
        <item x="13"/>
        <item x="211"/>
        <item x="29"/>
        <item x="93"/>
        <item x="206"/>
        <item x="61"/>
        <item x="224"/>
        <item x="205"/>
        <item x="91"/>
        <item x="33"/>
        <item x="75"/>
        <item x="89"/>
        <item x="235"/>
        <item x="134"/>
        <item x="242"/>
        <item x="60"/>
        <item x="156"/>
        <item x="160"/>
        <item x="71"/>
        <item x="237"/>
        <item x="220"/>
        <item x="116"/>
        <item x="108"/>
        <item x="142"/>
        <item x="175"/>
        <item x="215"/>
        <item x="154"/>
        <item x="147"/>
        <item x="139"/>
        <item x="35"/>
        <item x="194"/>
        <item x="117"/>
        <item x="64"/>
        <item x="87"/>
        <item x="48"/>
        <item x="67"/>
        <item x="173"/>
        <item x="21"/>
        <item x="51"/>
        <item x="112"/>
        <item x="59"/>
        <item x="185"/>
        <item x="54"/>
        <item x="137"/>
        <item x="120"/>
        <item x="122"/>
        <item x="243"/>
        <item x="231"/>
        <item x="86"/>
        <item x="101"/>
        <item x="226"/>
        <item x="115"/>
        <item x="25"/>
        <item x="149"/>
        <item x="68"/>
        <item x="203"/>
        <item x="179"/>
        <item x="4"/>
        <item x="11"/>
        <item x="150"/>
        <item x="10"/>
        <item x="176"/>
        <item x="6"/>
        <item x="127"/>
        <item x="218"/>
        <item x="219"/>
        <item x="141"/>
        <item x="45"/>
        <item x="107"/>
        <item t="default"/>
      </items>
    </pivotField>
    <pivotField dataField="1" compact="0" showAll="0">
      <items count="282">
        <item x="166"/>
        <item x="121"/>
        <item x="254"/>
        <item x="6"/>
        <item x="272"/>
        <item x="98"/>
        <item x="32"/>
        <item x="262"/>
        <item x="197"/>
        <item x="251"/>
        <item x="159"/>
        <item x="185"/>
        <item x="155"/>
        <item x="134"/>
        <item x="204"/>
        <item x="156"/>
        <item x="88"/>
        <item x="190"/>
        <item x="65"/>
        <item x="129"/>
        <item x="182"/>
        <item x="118"/>
        <item x="169"/>
        <item x="133"/>
        <item x="196"/>
        <item x="19"/>
        <item x="0"/>
        <item x="47"/>
        <item x="106"/>
        <item x="102"/>
        <item x="149"/>
        <item x="230"/>
        <item x="193"/>
        <item x="223"/>
        <item x="92"/>
        <item x="66"/>
        <item x="40"/>
        <item x="70"/>
        <item x="217"/>
        <item x="200"/>
        <item x="83"/>
        <item x="126"/>
        <item x="56"/>
        <item x="153"/>
        <item x="97"/>
        <item x="38"/>
        <item x="42"/>
        <item x="131"/>
        <item x="5"/>
        <item x="16"/>
        <item x="124"/>
        <item x="82"/>
        <item x="229"/>
        <item x="210"/>
        <item x="216"/>
        <item x="103"/>
        <item x="141"/>
        <item x="60"/>
        <item x="246"/>
        <item x="25"/>
        <item x="201"/>
        <item x="30"/>
        <item x="50"/>
        <item x="228"/>
        <item x="175"/>
        <item x="269"/>
        <item x="191"/>
        <item x="76"/>
        <item x="146"/>
        <item x="104"/>
        <item x="36"/>
        <item x="112"/>
        <item x="1"/>
        <item x="219"/>
        <item x="109"/>
        <item x="39"/>
        <item x="2"/>
        <item x="172"/>
        <item x="140"/>
        <item x="186"/>
        <item x="14"/>
        <item x="265"/>
        <item x="113"/>
        <item x="99"/>
        <item x="278"/>
        <item x="183"/>
        <item x="240"/>
        <item x="242"/>
        <item x="10"/>
        <item x="123"/>
        <item x="59"/>
        <item x="252"/>
        <item x="122"/>
        <item x="7"/>
        <item x="154"/>
        <item x="125"/>
        <item x="127"/>
        <item x="91"/>
        <item x="271"/>
        <item x="52"/>
        <item x="9"/>
        <item x="245"/>
        <item x="171"/>
        <item x="276"/>
        <item x="79"/>
        <item x="86"/>
        <item x="222"/>
        <item x="120"/>
        <item x="279"/>
        <item x="256"/>
        <item x="232"/>
        <item x="20"/>
        <item x="27"/>
        <item x="35"/>
        <item x="206"/>
        <item x="207"/>
        <item x="273"/>
        <item x="12"/>
        <item x="227"/>
        <item x="58"/>
        <item x="101"/>
        <item x="234"/>
        <item x="199"/>
        <item x="259"/>
        <item x="130"/>
        <item x="173"/>
        <item x="181"/>
        <item x="43"/>
        <item x="261"/>
        <item x="67"/>
        <item x="74"/>
        <item x="18"/>
        <item x="93"/>
        <item x="23"/>
        <item x="28"/>
        <item x="277"/>
        <item x="29"/>
        <item x="213"/>
        <item x="15"/>
        <item x="115"/>
        <item x="72"/>
        <item x="179"/>
        <item x="128"/>
        <item x="139"/>
        <item x="238"/>
        <item x="137"/>
        <item x="116"/>
        <item x="152"/>
        <item x="174"/>
        <item x="135"/>
        <item x="194"/>
        <item x="198"/>
        <item x="34"/>
        <item x="90"/>
        <item x="202"/>
        <item x="81"/>
        <item x="192"/>
        <item x="248"/>
        <item x="184"/>
        <item x="26"/>
        <item x="142"/>
        <item x="266"/>
        <item x="247"/>
        <item x="48"/>
        <item x="45"/>
        <item x="218"/>
        <item x="117"/>
        <item x="255"/>
        <item x="189"/>
        <item x="54"/>
        <item x="180"/>
        <item x="187"/>
        <item x="235"/>
        <item x="63"/>
        <item x="231"/>
        <item x="250"/>
        <item x="44"/>
        <item x="176"/>
        <item x="208"/>
        <item x="71"/>
        <item x="157"/>
        <item x="257"/>
        <item x="21"/>
        <item x="77"/>
        <item x="138"/>
        <item x="68"/>
        <item x="100"/>
        <item x="89"/>
        <item x="211"/>
        <item x="164"/>
        <item x="148"/>
        <item x="239"/>
        <item x="258"/>
        <item x="243"/>
        <item x="212"/>
        <item x="136"/>
        <item x="17"/>
        <item x="178"/>
        <item x="151"/>
        <item x="145"/>
        <item x="111"/>
        <item x="163"/>
        <item x="170"/>
        <item x="221"/>
        <item x="249"/>
        <item x="87"/>
        <item x="244"/>
        <item x="94"/>
        <item x="46"/>
        <item x="147"/>
        <item x="105"/>
        <item x="150"/>
        <item x="158"/>
        <item x="264"/>
        <item x="267"/>
        <item x="49"/>
        <item x="195"/>
        <item x="226"/>
        <item x="167"/>
        <item x="62"/>
        <item x="144"/>
        <item x="188"/>
        <item x="41"/>
        <item x="84"/>
        <item x="22"/>
        <item x="168"/>
        <item x="270"/>
        <item x="53"/>
        <item x="119"/>
        <item x="96"/>
        <item x="95"/>
        <item x="209"/>
        <item x="161"/>
        <item x="114"/>
        <item x="61"/>
        <item x="78"/>
        <item x="260"/>
        <item x="13"/>
        <item x="160"/>
        <item x="225"/>
        <item x="215"/>
        <item x="236"/>
        <item x="4"/>
        <item x="143"/>
        <item x="241"/>
        <item x="165"/>
        <item x="108"/>
        <item x="253"/>
        <item x="3"/>
        <item x="110"/>
        <item x="280"/>
        <item x="24"/>
        <item x="107"/>
        <item x="220"/>
        <item x="85"/>
        <item x="51"/>
        <item x="55"/>
        <item x="37"/>
        <item x="275"/>
        <item x="132"/>
        <item x="203"/>
        <item x="224"/>
        <item x="263"/>
        <item x="8"/>
        <item x="31"/>
        <item x="75"/>
        <item x="64"/>
        <item x="233"/>
        <item x="214"/>
        <item x="268"/>
        <item x="274"/>
        <item x="33"/>
        <item x="237"/>
        <item x="205"/>
        <item x="11"/>
        <item x="80"/>
        <item x="57"/>
        <item x="69"/>
        <item x="73"/>
        <item x="177"/>
        <item x="162"/>
        <item t="default"/>
      </items>
    </pivotField>
    <pivotField compact="0" showAll="0">
      <items count="299">
        <item x="40"/>
        <item x="164"/>
        <item x="249"/>
        <item x="45"/>
        <item x="116"/>
        <item x="212"/>
        <item x="215"/>
        <item x="151"/>
        <item x="36"/>
        <item x="74"/>
        <item x="175"/>
        <item x="122"/>
        <item x="31"/>
        <item x="50"/>
        <item x="160"/>
        <item x="171"/>
        <item x="291"/>
        <item x="255"/>
        <item x="134"/>
        <item x="273"/>
        <item x="206"/>
        <item x="157"/>
        <item x="270"/>
        <item x="12"/>
        <item x="294"/>
        <item x="29"/>
        <item x="136"/>
        <item x="166"/>
        <item x="239"/>
        <item x="99"/>
        <item x="91"/>
        <item x="238"/>
        <item x="63"/>
        <item x="208"/>
        <item x="274"/>
        <item x="158"/>
        <item x="6"/>
        <item x="24"/>
        <item x="58"/>
        <item x="103"/>
        <item x="190"/>
        <item x="276"/>
        <item x="118"/>
        <item x="94"/>
        <item x="17"/>
        <item x="51"/>
        <item x="80"/>
        <item x="182"/>
        <item x="115"/>
        <item x="62"/>
        <item x="193"/>
        <item x="42"/>
        <item x="225"/>
        <item x="147"/>
        <item x="85"/>
        <item x="233"/>
        <item x="117"/>
        <item x="61"/>
        <item x="88"/>
        <item x="174"/>
        <item x="73"/>
        <item x="13"/>
        <item x="196"/>
        <item x="18"/>
        <item x="180"/>
        <item x="48"/>
        <item x="133"/>
        <item x="185"/>
        <item x="167"/>
        <item x="256"/>
        <item x="11"/>
        <item x="25"/>
        <item x="34"/>
        <item x="217"/>
        <item x="82"/>
        <item x="199"/>
        <item x="72"/>
        <item x="142"/>
        <item x="129"/>
        <item x="27"/>
        <item x="265"/>
        <item x="104"/>
        <item x="283"/>
        <item x="5"/>
        <item x="246"/>
        <item x="252"/>
        <item x="219"/>
        <item x="49"/>
        <item x="96"/>
        <item x="251"/>
        <item x="65"/>
        <item x="231"/>
        <item x="23"/>
        <item x="192"/>
        <item x="19"/>
        <item x="3"/>
        <item x="92"/>
        <item x="37"/>
        <item x="278"/>
        <item x="144"/>
        <item x="152"/>
        <item x="102"/>
        <item x="108"/>
        <item x="57"/>
        <item x="261"/>
        <item x="26"/>
        <item x="127"/>
        <item x="264"/>
        <item x="53"/>
        <item x="257"/>
        <item x="123"/>
        <item x="271"/>
        <item x="228"/>
        <item x="130"/>
        <item x="111"/>
        <item x="234"/>
        <item x="226"/>
        <item x="78"/>
        <item x="138"/>
        <item x="237"/>
        <item x="275"/>
        <item x="43"/>
        <item x="68"/>
        <item x="149"/>
        <item x="296"/>
        <item x="165"/>
        <item x="8"/>
        <item x="244"/>
        <item x="286"/>
        <item x="1"/>
        <item x="15"/>
        <item x="33"/>
        <item x="287"/>
        <item x="279"/>
        <item x="162"/>
        <item x="245"/>
        <item x="202"/>
        <item x="266"/>
        <item x="55"/>
        <item x="67"/>
        <item x="140"/>
        <item x="84"/>
        <item x="83"/>
        <item x="240"/>
        <item x="47"/>
        <item x="71"/>
        <item x="141"/>
        <item x="184"/>
        <item x="169"/>
        <item x="44"/>
        <item x="216"/>
        <item x="30"/>
        <item x="163"/>
        <item x="205"/>
        <item x="154"/>
        <item x="292"/>
        <item x="254"/>
        <item x="110"/>
        <item x="243"/>
        <item x="70"/>
        <item x="179"/>
        <item x="222"/>
        <item x="253"/>
        <item x="269"/>
        <item x="16"/>
        <item x="148"/>
        <item x="60"/>
        <item x="189"/>
        <item x="135"/>
        <item x="241"/>
        <item x="87"/>
        <item x="93"/>
        <item x="210"/>
        <item x="56"/>
        <item x="260"/>
        <item x="126"/>
        <item x="247"/>
        <item x="52"/>
        <item x="150"/>
        <item x="263"/>
        <item x="7"/>
        <item x="64"/>
        <item x="173"/>
        <item x="285"/>
        <item x="250"/>
        <item x="198"/>
        <item x="227"/>
        <item x="107"/>
        <item x="106"/>
        <item x="22"/>
        <item x="20"/>
        <item x="281"/>
        <item x="293"/>
        <item x="125"/>
        <item x="284"/>
        <item x="201"/>
        <item x="137"/>
        <item x="121"/>
        <item x="280"/>
        <item x="155"/>
        <item x="38"/>
        <item x="223"/>
        <item x="21"/>
        <item x="213"/>
        <item x="262"/>
        <item x="41"/>
        <item x="236"/>
        <item x="89"/>
        <item x="282"/>
        <item x="177"/>
        <item x="178"/>
        <item x="46"/>
        <item x="268"/>
        <item x="181"/>
        <item x="172"/>
        <item x="229"/>
        <item x="235"/>
        <item x="209"/>
        <item x="124"/>
        <item x="101"/>
        <item x="204"/>
        <item x="114"/>
        <item x="139"/>
        <item x="59"/>
        <item x="230"/>
        <item x="153"/>
        <item x="207"/>
        <item x="218"/>
        <item x="288"/>
        <item x="77"/>
        <item x="128"/>
        <item x="195"/>
        <item x="105"/>
        <item x="221"/>
        <item x="272"/>
        <item x="76"/>
        <item x="203"/>
        <item x="232"/>
        <item x="259"/>
        <item x="197"/>
        <item x="97"/>
        <item x="10"/>
        <item x="224"/>
        <item x="4"/>
        <item x="14"/>
        <item x="81"/>
        <item x="132"/>
        <item x="112"/>
        <item x="109"/>
        <item x="200"/>
        <item x="66"/>
        <item x="161"/>
        <item x="120"/>
        <item x="194"/>
        <item x="2"/>
        <item x="32"/>
        <item x="75"/>
        <item x="211"/>
        <item x="98"/>
        <item x="95"/>
        <item x="267"/>
        <item x="113"/>
        <item x="143"/>
        <item x="0"/>
        <item x="69"/>
        <item x="277"/>
        <item x="220"/>
        <item x="131"/>
        <item x="9"/>
        <item x="290"/>
        <item x="86"/>
        <item x="186"/>
        <item x="54"/>
        <item x="146"/>
        <item x="183"/>
        <item x="297"/>
        <item x="156"/>
        <item x="119"/>
        <item x="176"/>
        <item x="145"/>
        <item x="295"/>
        <item x="258"/>
        <item x="214"/>
        <item x="187"/>
        <item x="188"/>
        <item x="28"/>
        <item x="170"/>
        <item x="35"/>
        <item x="191"/>
        <item x="90"/>
        <item x="242"/>
        <item x="79"/>
        <item x="159"/>
        <item x="39"/>
        <item x="289"/>
        <item x="168"/>
        <item x="248"/>
        <item x="100"/>
        <item t="default"/>
      </items>
    </pivotField>
    <pivotField compact="0" showAll="0">
      <items count="301">
        <item x="2"/>
        <item x="156"/>
        <item x="262"/>
        <item x="91"/>
        <item x="192"/>
        <item x="185"/>
        <item x="202"/>
        <item x="216"/>
        <item x="160"/>
        <item x="274"/>
        <item x="117"/>
        <item x="222"/>
        <item x="272"/>
        <item x="18"/>
        <item x="258"/>
        <item x="270"/>
        <item x="81"/>
        <item x="103"/>
        <item x="253"/>
        <item x="20"/>
        <item x="194"/>
        <item x="265"/>
        <item x="90"/>
        <item x="227"/>
        <item x="34"/>
        <item x="154"/>
        <item x="152"/>
        <item x="161"/>
        <item x="268"/>
        <item x="241"/>
        <item x="138"/>
        <item x="164"/>
        <item x="32"/>
        <item x="17"/>
        <item x="73"/>
        <item x="43"/>
        <item x="183"/>
        <item x="242"/>
        <item x="204"/>
        <item x="276"/>
        <item x="158"/>
        <item x="188"/>
        <item x="266"/>
        <item x="153"/>
        <item x="74"/>
        <item x="41"/>
        <item x="291"/>
        <item x="8"/>
        <item x="62"/>
        <item x="178"/>
        <item x="25"/>
        <item x="220"/>
        <item x="200"/>
        <item x="240"/>
        <item x="127"/>
        <item x="269"/>
        <item x="131"/>
        <item x="243"/>
        <item x="54"/>
        <item x="261"/>
        <item x="42"/>
        <item x="282"/>
        <item x="125"/>
        <item x="58"/>
        <item x="120"/>
        <item x="146"/>
        <item x="228"/>
        <item x="249"/>
        <item x="89"/>
        <item x="237"/>
        <item x="186"/>
        <item x="150"/>
        <item x="234"/>
        <item x="24"/>
        <item x="130"/>
        <item x="277"/>
        <item x="176"/>
        <item x="116"/>
        <item x="134"/>
        <item x="79"/>
        <item x="280"/>
        <item x="55"/>
        <item x="48"/>
        <item x="169"/>
        <item x="92"/>
        <item x="136"/>
        <item x="292"/>
        <item x="72"/>
        <item x="52"/>
        <item x="203"/>
        <item x="53"/>
        <item x="273"/>
        <item x="75"/>
        <item x="27"/>
        <item x="93"/>
        <item x="198"/>
        <item x="145"/>
        <item x="296"/>
        <item x="39"/>
        <item x="36"/>
        <item x="163"/>
        <item x="140"/>
        <item x="229"/>
        <item x="271"/>
        <item x="30"/>
        <item x="16"/>
        <item x="170"/>
        <item x="6"/>
        <item x="151"/>
        <item x="40"/>
        <item x="14"/>
        <item x="187"/>
        <item x="98"/>
        <item x="49"/>
        <item x="232"/>
        <item x="133"/>
        <item x="245"/>
        <item x="88"/>
        <item x="184"/>
        <item x="281"/>
        <item x="3"/>
        <item x="189"/>
        <item x="19"/>
        <item x="173"/>
        <item x="115"/>
        <item x="66"/>
        <item x="172"/>
        <item x="197"/>
        <item x="64"/>
        <item x="196"/>
        <item x="80"/>
        <item x="181"/>
        <item x="231"/>
        <item x="60"/>
        <item x="57"/>
        <item x="218"/>
        <item x="193"/>
        <item x="175"/>
        <item x="267"/>
        <item x="255"/>
        <item x="162"/>
        <item x="26"/>
        <item x="82"/>
        <item x="104"/>
        <item x="28"/>
        <item x="168"/>
        <item x="223"/>
        <item x="126"/>
        <item x="238"/>
        <item x="250"/>
        <item x="213"/>
        <item x="35"/>
        <item x="97"/>
        <item x="205"/>
        <item x="107"/>
        <item x="190"/>
        <item x="15"/>
        <item x="45"/>
        <item x="209"/>
        <item x="289"/>
        <item x="85"/>
        <item x="83"/>
        <item x="278"/>
        <item x="37"/>
        <item x="46"/>
        <item x="259"/>
        <item x="108"/>
        <item x="257"/>
        <item x="251"/>
        <item x="10"/>
        <item x="246"/>
        <item x="56"/>
        <item x="70"/>
        <item x="199"/>
        <item x="283"/>
        <item x="182"/>
        <item x="221"/>
        <item x="263"/>
        <item x="129"/>
        <item x="11"/>
        <item x="297"/>
        <item x="285"/>
        <item x="191"/>
        <item x="260"/>
        <item x="69"/>
        <item x="155"/>
        <item x="119"/>
        <item x="31"/>
        <item x="86"/>
        <item x="275"/>
        <item x="128"/>
        <item x="174"/>
        <item x="180"/>
        <item x="293"/>
        <item x="149"/>
        <item x="110"/>
        <item x="147"/>
        <item x="287"/>
        <item x="47"/>
        <item x="111"/>
        <item x="51"/>
        <item x="279"/>
        <item x="247"/>
        <item x="217"/>
        <item x="12"/>
        <item x="7"/>
        <item x="78"/>
        <item x="50"/>
        <item x="77"/>
        <item x="171"/>
        <item x="100"/>
        <item x="256"/>
        <item x="132"/>
        <item x="29"/>
        <item x="84"/>
        <item x="195"/>
        <item x="290"/>
        <item x="206"/>
        <item x="143"/>
        <item x="144"/>
        <item x="224"/>
        <item x="141"/>
        <item x="211"/>
        <item x="1"/>
        <item x="165"/>
        <item x="148"/>
        <item x="295"/>
        <item x="94"/>
        <item x="294"/>
        <item x="233"/>
        <item x="109"/>
        <item x="177"/>
        <item x="299"/>
        <item x="230"/>
        <item x="137"/>
        <item x="286"/>
        <item x="68"/>
        <item x="159"/>
        <item x="114"/>
        <item x="235"/>
        <item x="252"/>
        <item x="123"/>
        <item x="0"/>
        <item x="207"/>
        <item x="288"/>
        <item x="33"/>
        <item x="226"/>
        <item x="113"/>
        <item x="236"/>
        <item x="101"/>
        <item x="96"/>
        <item x="71"/>
        <item x="102"/>
        <item x="254"/>
        <item x="298"/>
        <item x="122"/>
        <item x="61"/>
        <item x="248"/>
        <item x="4"/>
        <item x="210"/>
        <item x="95"/>
        <item x="76"/>
        <item x="9"/>
        <item x="118"/>
        <item x="67"/>
        <item x="23"/>
        <item x="44"/>
        <item x="106"/>
        <item x="244"/>
        <item x="139"/>
        <item x="142"/>
        <item x="166"/>
        <item x="215"/>
        <item x="105"/>
        <item x="157"/>
        <item x="201"/>
        <item x="284"/>
        <item x="239"/>
        <item x="208"/>
        <item x="99"/>
        <item x="5"/>
        <item x="13"/>
        <item x="59"/>
        <item x="219"/>
        <item x="135"/>
        <item x="63"/>
        <item x="38"/>
        <item x="22"/>
        <item x="112"/>
        <item x="212"/>
        <item x="214"/>
        <item x="87"/>
        <item x="21"/>
        <item x="167"/>
        <item x="65"/>
        <item x="179"/>
        <item x="264"/>
        <item x="121"/>
        <item x="124"/>
        <item x="225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numFmtId="165" showAll="0">
      <items count="301">
        <item x="224"/>
        <item x="65"/>
        <item x="201"/>
        <item x="23"/>
        <item x="63"/>
        <item x="147"/>
        <item x="137"/>
        <item x="195"/>
        <item x="217"/>
        <item x="135"/>
        <item x="106"/>
        <item x="85"/>
        <item x="286"/>
        <item x="208"/>
        <item x="212"/>
        <item x="98"/>
        <item x="97"/>
        <item x="61"/>
        <item x="252"/>
        <item x="104"/>
        <item x="254"/>
        <item x="22"/>
        <item x="207"/>
        <item x="125"/>
        <item x="180"/>
        <item x="105"/>
        <item x="179"/>
        <item x="251"/>
        <item x="31"/>
        <item x="67"/>
        <item x="260"/>
        <item x="9"/>
        <item x="79"/>
        <item x="95"/>
        <item x="248"/>
        <item x="45"/>
        <item x="232"/>
        <item x="264"/>
        <item x="37"/>
        <item x="219"/>
        <item x="166"/>
        <item x="119"/>
        <item x="186"/>
        <item x="165"/>
        <item x="74"/>
        <item x="10"/>
        <item x="111"/>
        <item x="276"/>
        <item x="76"/>
        <item x="5"/>
        <item x="191"/>
        <item x="283"/>
        <item x="84"/>
        <item x="275"/>
        <item x="33"/>
        <item x="295"/>
        <item x="187"/>
        <item x="55"/>
        <item x="13"/>
        <item x="3"/>
        <item x="99"/>
        <item x="261"/>
        <item x="73"/>
        <item x="90"/>
        <item x="243"/>
        <item x="56"/>
        <item x="19"/>
        <item x="222"/>
        <item x="109"/>
        <item x="236"/>
        <item x="15"/>
        <item x="82"/>
        <item x="244"/>
        <item x="175"/>
        <item x="238"/>
        <item x="167"/>
        <item x="49"/>
        <item x="162"/>
        <item x="0"/>
        <item x="285"/>
        <item x="141"/>
        <item x="100"/>
        <item x="229"/>
        <item x="68"/>
        <item x="59"/>
        <item x="78"/>
        <item x="86"/>
        <item x="124"/>
        <item x="281"/>
        <item x="196"/>
        <item x="213"/>
        <item x="11"/>
        <item x="155"/>
        <item x="210"/>
        <item x="177"/>
        <item x="129"/>
        <item x="221"/>
        <item x="144"/>
        <item x="150"/>
        <item x="174"/>
        <item x="284"/>
        <item x="280"/>
        <item x="102"/>
        <item x="287"/>
        <item x="101"/>
        <item x="296"/>
        <item x="271"/>
        <item x="44"/>
        <item x="113"/>
        <item x="157"/>
        <item x="197"/>
        <item x="218"/>
        <item x="173"/>
        <item x="215"/>
        <item x="214"/>
        <item x="279"/>
        <item x="170"/>
        <item x="21"/>
        <item x="126"/>
        <item x="172"/>
        <item x="132"/>
        <item x="122"/>
        <item x="48"/>
        <item x="38"/>
        <item x="71"/>
        <item x="88"/>
        <item x="257"/>
        <item x="80"/>
        <item x="46"/>
        <item x="14"/>
        <item x="188"/>
        <item x="211"/>
        <item x="114"/>
        <item x="47"/>
        <item x="145"/>
        <item x="121"/>
        <item x="70"/>
        <item x="117"/>
        <item x="178"/>
        <item x="282"/>
        <item x="128"/>
        <item x="278"/>
        <item x="294"/>
        <item x="298"/>
        <item x="226"/>
        <item x="133"/>
        <item x="273"/>
        <item x="225"/>
        <item x="146"/>
        <item x="87"/>
        <item x="139"/>
        <item x="142"/>
        <item x="81"/>
        <item x="190"/>
        <item x="107"/>
        <item x="171"/>
        <item x="209"/>
        <item x="112"/>
        <item x="118"/>
        <item x="189"/>
        <item x="51"/>
        <item x="206"/>
        <item x="72"/>
        <item x="239"/>
        <item x="123"/>
        <item x="96"/>
        <item x="148"/>
        <item x="94"/>
        <item x="247"/>
        <item x="77"/>
        <item x="199"/>
        <item x="159"/>
        <item x="7"/>
        <item x="30"/>
        <item x="193"/>
        <item x="233"/>
        <item x="267"/>
        <item x="110"/>
        <item x="230"/>
        <item x="1"/>
        <item x="250"/>
        <item x="4"/>
        <item x="131"/>
        <item x="182"/>
        <item x="39"/>
        <item x="290"/>
        <item x="149"/>
        <item x="156"/>
        <item x="36"/>
        <item x="168"/>
        <item x="288"/>
        <item x="235"/>
        <item x="249"/>
        <item x="69"/>
        <item x="263"/>
        <item x="108"/>
        <item x="143"/>
        <item x="181"/>
        <item x="259"/>
        <item x="194"/>
        <item x="256"/>
        <item x="50"/>
        <item x="16"/>
        <item x="299"/>
        <item x="83"/>
        <item x="297"/>
        <item x="32"/>
        <item x="115"/>
        <item x="29"/>
        <item x="246"/>
        <item x="42"/>
        <item x="223"/>
        <item x="66"/>
        <item x="12"/>
        <item x="205"/>
        <item x="183"/>
        <item x="35"/>
        <item x="160"/>
        <item x="151"/>
        <item x="237"/>
        <item x="140"/>
        <item x="293"/>
        <item x="134"/>
        <item x="289"/>
        <item x="116"/>
        <item x="24"/>
        <item x="64"/>
        <item x="262"/>
        <item x="53"/>
        <item x="200"/>
        <item x="26"/>
        <item x="40"/>
        <item x="93"/>
        <item x="163"/>
        <item x="28"/>
        <item x="184"/>
        <item x="234"/>
        <item x="231"/>
        <item x="103"/>
        <item x="60"/>
        <item x="8"/>
        <item x="270"/>
        <item x="154"/>
        <item x="255"/>
        <item x="245"/>
        <item x="153"/>
        <item x="240"/>
        <item x="57"/>
        <item x="2"/>
        <item x="266"/>
        <item x="269"/>
        <item x="34"/>
        <item x="75"/>
        <item x="228"/>
        <item x="6"/>
        <item x="120"/>
        <item x="136"/>
        <item x="62"/>
        <item x="27"/>
        <item x="130"/>
        <item x="198"/>
        <item x="202"/>
        <item x="58"/>
        <item x="220"/>
        <item x="277"/>
        <item x="292"/>
        <item x="92"/>
        <item x="41"/>
        <item x="203"/>
        <item x="89"/>
        <item x="43"/>
        <item x="52"/>
        <item x="169"/>
        <item x="25"/>
        <item x="138"/>
        <item x="176"/>
        <item x="164"/>
        <item x="242"/>
        <item x="20"/>
        <item x="54"/>
        <item x="258"/>
        <item x="192"/>
        <item x="17"/>
        <item x="253"/>
        <item x="241"/>
        <item x="227"/>
        <item x="161"/>
        <item x="127"/>
        <item x="216"/>
        <item x="291"/>
        <item x="204"/>
        <item x="152"/>
        <item x="158"/>
        <item x="91"/>
        <item x="272"/>
        <item x="265"/>
        <item x="268"/>
        <item x="274"/>
        <item x="185"/>
        <item x="18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icks" fld="9" subtotal="average" baseField="0" baseItem="0"/>
    <dataField name="Average of Likes" fld="6" subtotal="average" baseField="0" baseItem="0"/>
  </dataFields>
  <formats count="98">
    <format dxfId="0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0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0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0"/>
          </reference>
        </references>
      </pivotArea>
    </format>
    <format dxfId="0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0"/>
          </reference>
        </references>
      </pivotArea>
    </format>
    <format dxfId="0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0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5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6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7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8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9"/>
          </reference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 selected="0">
            <x v="10"/>
          </reference>
          <reference field="4294967294" count="1" selected="0">
            <x v="1"/>
          </reference>
        </references>
      </pivotArea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3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15" firstHeaderRow="1" firstDataRow="1" firstDataCol="1"/>
  <pivotFields count="14">
    <pivotField dataField="1" compact="0" showAll="0">
      <items count="302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00"/>
        <item t="default"/>
      </items>
    </pivotField>
    <pivotField compact="0" showAll="0">
      <items count="6">
        <item x="3"/>
        <item x="1"/>
        <item x="0"/>
        <item x="2"/>
        <item x="4"/>
        <item t="default"/>
      </items>
    </pivotField>
    <pivotField compact="0" showAll="0">
      <items count="212">
        <item x="122"/>
        <item x="125"/>
        <item x="25"/>
        <item x="133"/>
        <item x="0"/>
        <item x="29"/>
        <item x="146"/>
        <item x="9"/>
        <item x="49"/>
        <item x="86"/>
        <item x="166"/>
        <item x="99"/>
        <item x="196"/>
        <item x="181"/>
        <item x="91"/>
        <item x="40"/>
        <item x="201"/>
        <item x="97"/>
        <item x="162"/>
        <item x="13"/>
        <item x="78"/>
        <item x="20"/>
        <item x="194"/>
        <item x="180"/>
        <item x="23"/>
        <item x="75"/>
        <item x="128"/>
        <item x="206"/>
        <item x="43"/>
        <item x="150"/>
        <item x="31"/>
        <item x="90"/>
        <item x="12"/>
        <item x="5"/>
        <item x="21"/>
        <item x="124"/>
        <item x="118"/>
        <item x="83"/>
        <item x="191"/>
        <item x="175"/>
        <item x="18"/>
        <item x="35"/>
        <item x="136"/>
        <item x="38"/>
        <item x="204"/>
        <item x="193"/>
        <item x="131"/>
        <item x="4"/>
        <item x="33"/>
        <item x="2"/>
        <item x="163"/>
        <item x="82"/>
        <item x="37"/>
        <item x="120"/>
        <item x="103"/>
        <item x="179"/>
        <item x="152"/>
        <item x="172"/>
        <item x="113"/>
        <item x="10"/>
        <item x="144"/>
        <item x="177"/>
        <item x="16"/>
        <item x="84"/>
        <item x="189"/>
        <item x="1"/>
        <item x="159"/>
        <item x="3"/>
        <item x="17"/>
        <item x="95"/>
        <item x="209"/>
        <item x="19"/>
        <item x="7"/>
        <item x="119"/>
        <item x="105"/>
        <item x="26"/>
        <item x="185"/>
        <item x="135"/>
        <item x="174"/>
        <item x="147"/>
        <item x="114"/>
        <item x="6"/>
        <item x="199"/>
        <item x="77"/>
        <item x="190"/>
        <item x="142"/>
        <item x="202"/>
        <item x="100"/>
        <item x="88"/>
        <item x="80"/>
        <item x="64"/>
        <item x="126"/>
        <item x="60"/>
        <item x="93"/>
        <item x="130"/>
        <item x="67"/>
        <item x="155"/>
        <item x="45"/>
        <item x="176"/>
        <item x="121"/>
        <item x="137"/>
        <item x="72"/>
        <item x="141"/>
        <item x="164"/>
        <item x="92"/>
        <item x="170"/>
        <item x="138"/>
        <item x="187"/>
        <item x="110"/>
        <item x="96"/>
        <item x="104"/>
        <item x="117"/>
        <item x="14"/>
        <item x="41"/>
        <item x="102"/>
        <item x="203"/>
        <item x="55"/>
        <item x="30"/>
        <item x="53"/>
        <item x="186"/>
        <item x="167"/>
        <item x="62"/>
        <item x="139"/>
        <item x="101"/>
        <item x="47"/>
        <item x="69"/>
        <item x="134"/>
        <item x="28"/>
        <item x="109"/>
        <item x="145"/>
        <item x="183"/>
        <item x="46"/>
        <item x="197"/>
        <item x="140"/>
        <item x="87"/>
        <item x="132"/>
        <item x="151"/>
        <item x="182"/>
        <item x="94"/>
        <item x="36"/>
        <item x="34"/>
        <item x="207"/>
        <item x="24"/>
        <item x="50"/>
        <item x="178"/>
        <item x="98"/>
        <item x="44"/>
        <item x="81"/>
        <item x="15"/>
        <item x="111"/>
        <item x="123"/>
        <item x="57"/>
        <item x="107"/>
        <item x="165"/>
        <item x="42"/>
        <item x="173"/>
        <item x="76"/>
        <item x="63"/>
        <item x="188"/>
        <item x="116"/>
        <item x="89"/>
        <item x="74"/>
        <item x="184"/>
        <item x="171"/>
        <item x="195"/>
        <item x="143"/>
        <item x="129"/>
        <item x="168"/>
        <item x="32"/>
        <item x="169"/>
        <item x="127"/>
        <item x="161"/>
        <item x="85"/>
        <item x="112"/>
        <item x="160"/>
        <item x="61"/>
        <item x="59"/>
        <item x="58"/>
        <item x="56"/>
        <item x="54"/>
        <item x="51"/>
        <item x="48"/>
        <item x="39"/>
        <item x="27"/>
        <item x="22"/>
        <item x="11"/>
        <item x="8"/>
        <item x="71"/>
        <item x="68"/>
        <item x="208"/>
        <item x="205"/>
        <item x="200"/>
        <item x="198"/>
        <item x="192"/>
        <item x="108"/>
        <item x="79"/>
        <item x="158"/>
        <item x="154"/>
        <item x="149"/>
        <item x="148"/>
        <item x="153"/>
        <item x="73"/>
        <item x="52"/>
        <item x="66"/>
        <item x="157"/>
        <item x="115"/>
        <item x="106"/>
        <item x="70"/>
        <item x="65"/>
        <item x="156"/>
        <item x="210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axis="axisRow" compact="0" multipleItemSelectionAllowed="1" showAll="0" sortType="descending">
      <items count="13">
        <item x="8"/>
        <item x="3"/>
        <item x="0"/>
        <item x="2"/>
        <item x="7"/>
        <item x="4"/>
        <item x="10"/>
        <item x="5"/>
        <item x="9"/>
        <item x="6"/>
        <item x="1"/>
        <item h="1"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3">
        <item x="1"/>
        <item x="4"/>
        <item x="5"/>
        <item x="0"/>
        <item x="2"/>
        <item x="8"/>
        <item x="9"/>
        <item x="3"/>
        <item x="6"/>
        <item x="10"/>
        <item x="7"/>
        <item x="11"/>
        <item t="default"/>
      </items>
    </pivotField>
    <pivotField compact="0" showAll="0">
      <items count="298">
        <item x="90"/>
        <item x="220"/>
        <item x="124"/>
        <item x="222"/>
        <item x="74"/>
        <item x="73"/>
        <item x="259"/>
        <item x="116"/>
        <item x="241"/>
        <item x="184"/>
        <item x="23"/>
        <item x="79"/>
        <item x="199"/>
        <item x="65"/>
        <item x="146"/>
        <item x="81"/>
        <item x="154"/>
        <item x="98"/>
        <item x="193"/>
        <item x="97"/>
        <item x="55"/>
        <item x="215"/>
        <item x="230"/>
        <item x="85"/>
        <item x="158"/>
        <item x="136"/>
        <item x="186"/>
        <item x="192"/>
        <item x="260"/>
        <item x="45"/>
        <item x="176"/>
        <item x="63"/>
        <item x="148"/>
        <item x="277"/>
        <item x="249"/>
        <item x="185"/>
        <item x="283"/>
        <item x="258"/>
        <item x="105"/>
        <item x="279"/>
        <item x="134"/>
        <item x="37"/>
        <item x="227"/>
        <item x="49"/>
        <item x="210"/>
        <item x="178"/>
        <item x="3"/>
        <item x="19"/>
        <item x="250"/>
        <item x="10"/>
        <item x="61"/>
        <item x="2"/>
        <item x="31"/>
        <item x="292"/>
        <item x="48"/>
        <item x="205"/>
        <item x="252"/>
        <item x="206"/>
        <item x="236"/>
        <item x="82"/>
        <item x="130"/>
        <item x="118"/>
        <item x="280"/>
        <item x="145"/>
        <item x="32"/>
        <item x="189"/>
        <item x="200"/>
        <item x="67"/>
        <item x="56"/>
        <item x="268"/>
        <item x="173"/>
        <item x="181"/>
        <item x="103"/>
        <item x="269"/>
        <item x="273"/>
        <item x="278"/>
        <item x="104"/>
        <item x="177"/>
        <item x="168"/>
        <item x="246"/>
        <item x="110"/>
        <item x="160"/>
        <item x="144"/>
        <item x="211"/>
        <item x="15"/>
        <item x="194"/>
        <item x="152"/>
        <item x="9"/>
        <item x="14"/>
        <item x="163"/>
        <item x="247"/>
        <item x="95"/>
        <item x="22"/>
        <item x="84"/>
        <item x="291"/>
        <item x="42"/>
        <item x="88"/>
        <item x="271"/>
        <item x="171"/>
        <item x="195"/>
        <item x="282"/>
        <item x="164"/>
        <item x="11"/>
        <item x="216"/>
        <item x="190"/>
        <item x="198"/>
        <item x="72"/>
        <item x="170"/>
        <item x="219"/>
        <item x="34"/>
        <item x="262"/>
        <item x="80"/>
        <item x="33"/>
        <item x="128"/>
        <item x="76"/>
        <item x="217"/>
        <item x="125"/>
        <item x="132"/>
        <item x="108"/>
        <item x="13"/>
        <item x="5"/>
        <item x="100"/>
        <item x="172"/>
        <item x="68"/>
        <item x="86"/>
        <item x="264"/>
        <item x="46"/>
        <item x="30"/>
        <item x="284"/>
        <item x="242"/>
        <item x="256"/>
        <item x="153"/>
        <item x="36"/>
        <item x="8"/>
        <item x="187"/>
        <item x="0"/>
        <item x="99"/>
        <item x="39"/>
        <item x="235"/>
        <item x="234"/>
        <item x="238"/>
        <item x="151"/>
        <item x="78"/>
        <item x="140"/>
        <item x="133"/>
        <item x="62"/>
        <item x="115"/>
        <item x="255"/>
        <item x="24"/>
        <item x="175"/>
        <item x="214"/>
        <item x="143"/>
        <item x="267"/>
        <item x="276"/>
        <item x="20"/>
        <item x="162"/>
        <item x="275"/>
        <item x="53"/>
        <item x="232"/>
        <item x="101"/>
        <item x="265"/>
        <item x="43"/>
        <item x="70"/>
        <item x="188"/>
        <item x="47"/>
        <item x="106"/>
        <item x="251"/>
        <item x="165"/>
        <item x="102"/>
        <item x="91"/>
        <item x="218"/>
        <item x="137"/>
        <item x="16"/>
        <item x="119"/>
        <item x="59"/>
        <item x="191"/>
        <item x="208"/>
        <item x="226"/>
        <item x="207"/>
        <item x="114"/>
        <item x="248"/>
        <item x="112"/>
        <item x="131"/>
        <item x="123"/>
        <item x="139"/>
        <item x="127"/>
        <item x="240"/>
        <item x="225"/>
        <item x="149"/>
        <item x="121"/>
        <item x="166"/>
        <item x="281"/>
        <item x="44"/>
        <item x="41"/>
        <item x="197"/>
        <item x="93"/>
        <item x="209"/>
        <item x="66"/>
        <item x="179"/>
        <item x="71"/>
        <item x="270"/>
        <item x="25"/>
        <item x="113"/>
        <item x="58"/>
        <item x="155"/>
        <item x="161"/>
        <item x="213"/>
        <item x="17"/>
        <item x="159"/>
        <item x="239"/>
        <item x="129"/>
        <item x="180"/>
        <item x="290"/>
        <item x="107"/>
        <item x="169"/>
        <item x="40"/>
        <item x="21"/>
        <item x="89"/>
        <item x="212"/>
        <item x="245"/>
        <item x="221"/>
        <item x="257"/>
        <item x="51"/>
        <item x="272"/>
        <item x="38"/>
        <item x="150"/>
        <item x="203"/>
        <item x="77"/>
        <item x="135"/>
        <item x="35"/>
        <item x="224"/>
        <item x="182"/>
        <item x="7"/>
        <item x="64"/>
        <item x="109"/>
        <item x="204"/>
        <item x="147"/>
        <item x="294"/>
        <item x="261"/>
        <item x="274"/>
        <item x="183"/>
        <item x="69"/>
        <item x="94"/>
        <item x="83"/>
        <item x="293"/>
        <item x="244"/>
        <item x="122"/>
        <item x="243"/>
        <item x="157"/>
        <item x="202"/>
        <item x="27"/>
        <item x="75"/>
        <item x="263"/>
        <item x="231"/>
        <item x="1"/>
        <item x="54"/>
        <item x="196"/>
        <item x="26"/>
        <item x="288"/>
        <item x="141"/>
        <item x="286"/>
        <item x="228"/>
        <item x="138"/>
        <item x="92"/>
        <item x="174"/>
        <item x="120"/>
        <item x="229"/>
        <item x="60"/>
        <item x="167"/>
        <item x="96"/>
        <item x="6"/>
        <item x="117"/>
        <item x="18"/>
        <item x="28"/>
        <item x="52"/>
        <item x="142"/>
        <item x="4"/>
        <item x="254"/>
        <item x="156"/>
        <item x="287"/>
        <item x="50"/>
        <item x="253"/>
        <item x="223"/>
        <item x="126"/>
        <item x="285"/>
        <item x="266"/>
        <item x="87"/>
        <item x="295"/>
        <item x="237"/>
        <item x="12"/>
        <item x="111"/>
        <item x="289"/>
        <item x="233"/>
        <item x="201"/>
        <item x="29"/>
        <item x="57"/>
        <item x="296"/>
        <item t="default"/>
      </items>
    </pivotField>
    <pivotField compact="0" showAll="0">
      <items count="273">
        <item x="93"/>
        <item x="195"/>
        <item x="137"/>
        <item x="15"/>
        <item x="28"/>
        <item x="188"/>
        <item x="8"/>
        <item x="223"/>
        <item x="71"/>
        <item x="90"/>
        <item x="196"/>
        <item x="78"/>
        <item x="80"/>
        <item x="81"/>
        <item x="25"/>
        <item x="254"/>
        <item x="168"/>
        <item x="107"/>
        <item x="218"/>
        <item x="16"/>
        <item x="86"/>
        <item x="173"/>
        <item x="128"/>
        <item x="169"/>
        <item x="123"/>
        <item x="20"/>
        <item x="152"/>
        <item x="59"/>
        <item x="178"/>
        <item x="241"/>
        <item x="259"/>
        <item x="82"/>
        <item x="22"/>
        <item x="154"/>
        <item x="1"/>
        <item x="68"/>
        <item x="65"/>
        <item x="131"/>
        <item x="208"/>
        <item x="134"/>
        <item x="214"/>
        <item x="46"/>
        <item x="170"/>
        <item x="145"/>
        <item x="219"/>
        <item x="143"/>
        <item x="182"/>
        <item x="39"/>
        <item x="57"/>
        <item x="242"/>
        <item x="200"/>
        <item x="30"/>
        <item x="2"/>
        <item x="32"/>
        <item x="50"/>
        <item x="98"/>
        <item x="239"/>
        <item x="119"/>
        <item x="235"/>
        <item x="193"/>
        <item x="191"/>
        <item x="41"/>
        <item x="105"/>
        <item x="5"/>
        <item x="163"/>
        <item x="61"/>
        <item x="24"/>
        <item x="203"/>
        <item x="160"/>
        <item x="136"/>
        <item x="40"/>
        <item x="74"/>
        <item x="6"/>
        <item x="232"/>
        <item x="264"/>
        <item x="4"/>
        <item x="246"/>
        <item x="31"/>
        <item x="237"/>
        <item x="55"/>
        <item x="3"/>
        <item x="115"/>
        <item x="233"/>
        <item x="47"/>
        <item x="72"/>
        <item x="192"/>
        <item x="199"/>
        <item x="91"/>
        <item x="161"/>
        <item x="146"/>
        <item x="142"/>
        <item x="121"/>
        <item x="234"/>
        <item x="207"/>
        <item x="51"/>
        <item x="147"/>
        <item x="95"/>
        <item x="181"/>
        <item x="62"/>
        <item x="269"/>
        <item x="127"/>
        <item x="37"/>
        <item x="100"/>
        <item x="101"/>
        <item x="238"/>
        <item x="12"/>
        <item x="99"/>
        <item x="53"/>
        <item x="204"/>
        <item x="247"/>
        <item x="164"/>
        <item x="69"/>
        <item x="56"/>
        <item x="10"/>
        <item x="186"/>
        <item x="111"/>
        <item x="38"/>
        <item x="144"/>
        <item x="256"/>
        <item x="88"/>
        <item x="94"/>
        <item x="19"/>
        <item x="108"/>
        <item x="231"/>
        <item x="244"/>
        <item x="216"/>
        <item x="224"/>
        <item x="66"/>
        <item x="92"/>
        <item x="194"/>
        <item x="266"/>
        <item x="209"/>
        <item x="129"/>
        <item x="122"/>
        <item x="126"/>
        <item x="221"/>
        <item x="9"/>
        <item x="110"/>
        <item x="104"/>
        <item x="197"/>
        <item x="215"/>
        <item x="140"/>
        <item x="106"/>
        <item x="125"/>
        <item x="18"/>
        <item x="162"/>
        <item x="158"/>
        <item x="227"/>
        <item x="187"/>
        <item x="135"/>
        <item x="270"/>
        <item x="171"/>
        <item x="252"/>
        <item x="17"/>
        <item x="225"/>
        <item x="83"/>
        <item x="87"/>
        <item x="34"/>
        <item x="148"/>
        <item x="7"/>
        <item x="60"/>
        <item x="139"/>
        <item x="249"/>
        <item x="267"/>
        <item x="175"/>
        <item x="165"/>
        <item x="85"/>
        <item x="23"/>
        <item x="211"/>
        <item x="184"/>
        <item x="112"/>
        <item x="36"/>
        <item x="13"/>
        <item x="251"/>
        <item x="228"/>
        <item x="261"/>
        <item x="117"/>
        <item x="141"/>
        <item x="174"/>
        <item x="130"/>
        <item x="260"/>
        <item x="48"/>
        <item x="172"/>
        <item x="79"/>
        <item x="245"/>
        <item x="240"/>
        <item x="230"/>
        <item x="113"/>
        <item x="138"/>
        <item x="176"/>
        <item x="29"/>
        <item x="42"/>
        <item x="198"/>
        <item x="229"/>
        <item x="0"/>
        <item x="212"/>
        <item x="243"/>
        <item x="250"/>
        <item x="268"/>
        <item x="180"/>
        <item x="201"/>
        <item x="67"/>
        <item x="43"/>
        <item x="75"/>
        <item x="217"/>
        <item x="265"/>
        <item x="63"/>
        <item x="263"/>
        <item x="257"/>
        <item x="183"/>
        <item x="255"/>
        <item x="44"/>
        <item x="124"/>
        <item x="248"/>
        <item x="166"/>
        <item x="52"/>
        <item x="77"/>
        <item x="189"/>
        <item x="70"/>
        <item x="253"/>
        <item x="58"/>
        <item x="133"/>
        <item x="213"/>
        <item x="155"/>
        <item x="114"/>
        <item x="159"/>
        <item x="205"/>
        <item x="150"/>
        <item x="210"/>
        <item x="132"/>
        <item x="151"/>
        <item x="73"/>
        <item x="45"/>
        <item x="258"/>
        <item x="89"/>
        <item x="179"/>
        <item x="103"/>
        <item x="35"/>
        <item x="120"/>
        <item x="149"/>
        <item x="262"/>
        <item x="11"/>
        <item x="21"/>
        <item x="202"/>
        <item x="190"/>
        <item x="84"/>
        <item x="76"/>
        <item x="26"/>
        <item x="109"/>
        <item x="33"/>
        <item x="220"/>
        <item x="206"/>
        <item x="185"/>
        <item x="167"/>
        <item x="54"/>
        <item x="222"/>
        <item x="226"/>
        <item x="97"/>
        <item x="102"/>
        <item x="236"/>
        <item x="177"/>
        <item x="64"/>
        <item x="116"/>
        <item x="156"/>
        <item x="49"/>
        <item x="96"/>
        <item x="157"/>
        <item x="14"/>
        <item x="118"/>
        <item x="27"/>
        <item x="153"/>
        <item x="271"/>
        <item t="default"/>
      </items>
    </pivotField>
    <pivotField compact="0" showAll="0">
      <items count="248">
        <item x="103"/>
        <item x="73"/>
        <item x="3"/>
        <item x="192"/>
        <item x="9"/>
        <item x="113"/>
        <item x="27"/>
        <item x="105"/>
        <item x="74"/>
        <item x="26"/>
        <item x="81"/>
        <item x="28"/>
        <item x="12"/>
        <item x="118"/>
        <item x="119"/>
        <item x="62"/>
        <item x="30"/>
        <item x="106"/>
        <item x="57"/>
        <item x="36"/>
        <item x="241"/>
        <item x="229"/>
        <item x="99"/>
        <item x="63"/>
        <item x="114"/>
        <item x="16"/>
        <item x="128"/>
        <item x="20"/>
        <item x="70"/>
        <item x="100"/>
        <item x="76"/>
        <item x="183"/>
        <item x="24"/>
        <item x="221"/>
        <item x="151"/>
        <item x="184"/>
        <item x="162"/>
        <item x="104"/>
        <item x="158"/>
        <item x="50"/>
        <item x="96"/>
        <item x="207"/>
        <item x="140"/>
        <item x="39"/>
        <item x="208"/>
        <item x="102"/>
        <item x="193"/>
        <item x="53"/>
        <item x="84"/>
        <item x="202"/>
        <item x="19"/>
        <item x="201"/>
        <item x="69"/>
        <item x="204"/>
        <item x="88"/>
        <item x="238"/>
        <item x="40"/>
        <item x="0"/>
        <item x="31"/>
        <item x="126"/>
        <item x="216"/>
        <item x="77"/>
        <item x="66"/>
        <item x="22"/>
        <item x="172"/>
        <item x="131"/>
        <item x="47"/>
        <item x="177"/>
        <item x="228"/>
        <item x="186"/>
        <item x="123"/>
        <item x="79"/>
        <item x="170"/>
        <item x="94"/>
        <item x="32"/>
        <item x="174"/>
        <item x="210"/>
        <item x="182"/>
        <item x="14"/>
        <item x="167"/>
        <item x="232"/>
        <item x="55"/>
        <item x="133"/>
        <item x="157"/>
        <item x="34"/>
        <item x="144"/>
        <item x="65"/>
        <item x="189"/>
        <item x="56"/>
        <item x="2"/>
        <item x="145"/>
        <item x="92"/>
        <item x="159"/>
        <item x="98"/>
        <item x="8"/>
        <item x="85"/>
        <item x="225"/>
        <item x="244"/>
        <item x="168"/>
        <item x="143"/>
        <item x="196"/>
        <item x="95"/>
        <item x="169"/>
        <item x="166"/>
        <item x="200"/>
        <item x="43"/>
        <item x="129"/>
        <item x="125"/>
        <item x="214"/>
        <item x="239"/>
        <item x="161"/>
        <item x="171"/>
        <item x="148"/>
        <item x="165"/>
        <item x="227"/>
        <item x="78"/>
        <item x="195"/>
        <item x="152"/>
        <item x="230"/>
        <item x="213"/>
        <item x="58"/>
        <item x="187"/>
        <item x="181"/>
        <item x="109"/>
        <item x="191"/>
        <item x="163"/>
        <item x="155"/>
        <item x="18"/>
        <item x="146"/>
        <item x="212"/>
        <item x="38"/>
        <item x="245"/>
        <item x="82"/>
        <item x="236"/>
        <item x="49"/>
        <item x="223"/>
        <item x="178"/>
        <item x="17"/>
        <item x="41"/>
        <item x="240"/>
        <item x="234"/>
        <item x="110"/>
        <item x="46"/>
        <item x="130"/>
        <item x="5"/>
        <item x="23"/>
        <item x="37"/>
        <item x="124"/>
        <item x="44"/>
        <item x="72"/>
        <item x="197"/>
        <item x="121"/>
        <item x="222"/>
        <item x="83"/>
        <item x="15"/>
        <item x="209"/>
        <item x="199"/>
        <item x="80"/>
        <item x="233"/>
        <item x="90"/>
        <item x="188"/>
        <item x="52"/>
        <item x="198"/>
        <item x="138"/>
        <item x="7"/>
        <item x="136"/>
        <item x="111"/>
        <item x="132"/>
        <item x="190"/>
        <item x="164"/>
        <item x="97"/>
        <item x="135"/>
        <item x="153"/>
        <item x="1"/>
        <item x="217"/>
        <item x="180"/>
        <item x="42"/>
        <item x="13"/>
        <item x="211"/>
        <item x="29"/>
        <item x="93"/>
        <item x="206"/>
        <item x="61"/>
        <item x="224"/>
        <item x="205"/>
        <item x="91"/>
        <item x="33"/>
        <item x="75"/>
        <item x="89"/>
        <item x="235"/>
        <item x="134"/>
        <item x="242"/>
        <item x="60"/>
        <item x="156"/>
        <item x="160"/>
        <item x="71"/>
        <item x="237"/>
        <item x="220"/>
        <item x="116"/>
        <item x="108"/>
        <item x="142"/>
        <item x="175"/>
        <item x="215"/>
        <item x="154"/>
        <item x="147"/>
        <item x="139"/>
        <item x="35"/>
        <item x="194"/>
        <item x="117"/>
        <item x="64"/>
        <item x="87"/>
        <item x="48"/>
        <item x="67"/>
        <item x="173"/>
        <item x="21"/>
        <item x="51"/>
        <item x="112"/>
        <item x="59"/>
        <item x="185"/>
        <item x="54"/>
        <item x="137"/>
        <item x="120"/>
        <item x="122"/>
        <item x="243"/>
        <item x="231"/>
        <item x="86"/>
        <item x="101"/>
        <item x="226"/>
        <item x="115"/>
        <item x="25"/>
        <item x="149"/>
        <item x="68"/>
        <item x="203"/>
        <item x="179"/>
        <item x="4"/>
        <item x="11"/>
        <item x="150"/>
        <item x="10"/>
        <item x="176"/>
        <item x="6"/>
        <item x="127"/>
        <item x="218"/>
        <item x="219"/>
        <item x="141"/>
        <item x="45"/>
        <item x="107"/>
        <item x="246"/>
        <item t="default"/>
      </items>
    </pivotField>
    <pivotField compact="0" showAll="0">
      <items count="283">
        <item x="166"/>
        <item x="121"/>
        <item x="254"/>
        <item x="6"/>
        <item x="272"/>
        <item x="98"/>
        <item x="32"/>
        <item x="262"/>
        <item x="197"/>
        <item x="251"/>
        <item x="159"/>
        <item x="185"/>
        <item x="155"/>
        <item x="134"/>
        <item x="204"/>
        <item x="156"/>
        <item x="88"/>
        <item x="190"/>
        <item x="65"/>
        <item x="129"/>
        <item x="182"/>
        <item x="118"/>
        <item x="169"/>
        <item x="133"/>
        <item x="196"/>
        <item x="19"/>
        <item x="0"/>
        <item x="47"/>
        <item x="106"/>
        <item x="102"/>
        <item x="149"/>
        <item x="230"/>
        <item x="193"/>
        <item x="223"/>
        <item x="92"/>
        <item x="66"/>
        <item x="40"/>
        <item x="70"/>
        <item x="217"/>
        <item x="200"/>
        <item x="83"/>
        <item x="126"/>
        <item x="56"/>
        <item x="153"/>
        <item x="97"/>
        <item x="38"/>
        <item x="42"/>
        <item x="131"/>
        <item x="5"/>
        <item x="16"/>
        <item x="124"/>
        <item x="82"/>
        <item x="229"/>
        <item x="210"/>
        <item x="216"/>
        <item x="103"/>
        <item x="141"/>
        <item x="60"/>
        <item x="246"/>
        <item x="25"/>
        <item x="201"/>
        <item x="30"/>
        <item x="50"/>
        <item x="228"/>
        <item x="175"/>
        <item x="269"/>
        <item x="191"/>
        <item x="76"/>
        <item x="146"/>
        <item x="104"/>
        <item x="36"/>
        <item x="112"/>
        <item x="1"/>
        <item x="219"/>
        <item x="109"/>
        <item x="39"/>
        <item x="2"/>
        <item x="172"/>
        <item x="140"/>
        <item x="186"/>
        <item x="14"/>
        <item x="265"/>
        <item x="113"/>
        <item x="99"/>
        <item x="278"/>
        <item x="183"/>
        <item x="240"/>
        <item x="242"/>
        <item x="10"/>
        <item x="123"/>
        <item x="59"/>
        <item x="252"/>
        <item x="122"/>
        <item x="7"/>
        <item x="154"/>
        <item x="125"/>
        <item x="127"/>
        <item x="91"/>
        <item x="271"/>
        <item x="52"/>
        <item x="9"/>
        <item x="245"/>
        <item x="171"/>
        <item x="276"/>
        <item x="79"/>
        <item x="86"/>
        <item x="222"/>
        <item x="120"/>
        <item x="279"/>
        <item x="256"/>
        <item x="232"/>
        <item x="20"/>
        <item x="27"/>
        <item x="35"/>
        <item x="206"/>
        <item x="207"/>
        <item x="273"/>
        <item x="12"/>
        <item x="227"/>
        <item x="58"/>
        <item x="101"/>
        <item x="234"/>
        <item x="199"/>
        <item x="259"/>
        <item x="130"/>
        <item x="173"/>
        <item x="181"/>
        <item x="43"/>
        <item x="261"/>
        <item x="67"/>
        <item x="74"/>
        <item x="18"/>
        <item x="93"/>
        <item x="23"/>
        <item x="28"/>
        <item x="277"/>
        <item x="29"/>
        <item x="213"/>
        <item x="15"/>
        <item x="115"/>
        <item x="72"/>
        <item x="179"/>
        <item x="128"/>
        <item x="139"/>
        <item x="238"/>
        <item x="137"/>
        <item x="116"/>
        <item x="152"/>
        <item x="174"/>
        <item x="135"/>
        <item x="194"/>
        <item x="198"/>
        <item x="34"/>
        <item x="90"/>
        <item x="202"/>
        <item x="81"/>
        <item x="192"/>
        <item x="248"/>
        <item x="184"/>
        <item x="26"/>
        <item x="142"/>
        <item x="266"/>
        <item x="247"/>
        <item x="48"/>
        <item x="45"/>
        <item x="218"/>
        <item x="117"/>
        <item x="255"/>
        <item x="189"/>
        <item x="54"/>
        <item x="180"/>
        <item x="187"/>
        <item x="235"/>
        <item x="63"/>
        <item x="231"/>
        <item x="250"/>
        <item x="44"/>
        <item x="176"/>
        <item x="208"/>
        <item x="71"/>
        <item x="157"/>
        <item x="257"/>
        <item x="21"/>
        <item x="77"/>
        <item x="138"/>
        <item x="68"/>
        <item x="100"/>
        <item x="89"/>
        <item x="211"/>
        <item x="164"/>
        <item x="148"/>
        <item x="239"/>
        <item x="258"/>
        <item x="243"/>
        <item x="212"/>
        <item x="136"/>
        <item x="17"/>
        <item x="178"/>
        <item x="151"/>
        <item x="145"/>
        <item x="111"/>
        <item x="163"/>
        <item x="170"/>
        <item x="221"/>
        <item x="249"/>
        <item x="87"/>
        <item x="244"/>
        <item x="94"/>
        <item x="46"/>
        <item x="147"/>
        <item x="105"/>
        <item x="150"/>
        <item x="158"/>
        <item x="264"/>
        <item x="267"/>
        <item x="49"/>
        <item x="195"/>
        <item x="226"/>
        <item x="167"/>
        <item x="62"/>
        <item x="144"/>
        <item x="188"/>
        <item x="41"/>
        <item x="84"/>
        <item x="22"/>
        <item x="168"/>
        <item x="270"/>
        <item x="53"/>
        <item x="119"/>
        <item x="96"/>
        <item x="95"/>
        <item x="209"/>
        <item x="161"/>
        <item x="114"/>
        <item x="61"/>
        <item x="78"/>
        <item x="260"/>
        <item x="13"/>
        <item x="160"/>
        <item x="225"/>
        <item x="215"/>
        <item x="236"/>
        <item x="4"/>
        <item x="143"/>
        <item x="241"/>
        <item x="165"/>
        <item x="108"/>
        <item x="253"/>
        <item x="3"/>
        <item x="110"/>
        <item x="280"/>
        <item x="24"/>
        <item x="107"/>
        <item x="220"/>
        <item x="85"/>
        <item x="51"/>
        <item x="55"/>
        <item x="37"/>
        <item x="275"/>
        <item x="132"/>
        <item x="203"/>
        <item x="224"/>
        <item x="263"/>
        <item x="8"/>
        <item x="31"/>
        <item x="75"/>
        <item x="64"/>
        <item x="233"/>
        <item x="214"/>
        <item x="268"/>
        <item x="274"/>
        <item x="33"/>
        <item x="237"/>
        <item x="205"/>
        <item x="11"/>
        <item x="80"/>
        <item x="57"/>
        <item x="69"/>
        <item x="73"/>
        <item x="177"/>
        <item x="162"/>
        <item x="281"/>
        <item t="default"/>
      </items>
    </pivotField>
    <pivotField compact="0" showAll="0">
      <items count="300">
        <item x="40"/>
        <item x="164"/>
        <item x="249"/>
        <item x="45"/>
        <item x="116"/>
        <item x="212"/>
        <item x="215"/>
        <item x="151"/>
        <item x="36"/>
        <item x="74"/>
        <item x="175"/>
        <item x="122"/>
        <item x="31"/>
        <item x="50"/>
        <item x="160"/>
        <item x="171"/>
        <item x="291"/>
        <item x="255"/>
        <item x="134"/>
        <item x="273"/>
        <item x="206"/>
        <item x="157"/>
        <item x="270"/>
        <item x="12"/>
        <item x="294"/>
        <item x="29"/>
        <item x="136"/>
        <item x="166"/>
        <item x="239"/>
        <item x="99"/>
        <item x="91"/>
        <item x="238"/>
        <item x="63"/>
        <item x="208"/>
        <item x="274"/>
        <item x="158"/>
        <item x="6"/>
        <item x="24"/>
        <item x="58"/>
        <item x="103"/>
        <item x="190"/>
        <item x="276"/>
        <item x="118"/>
        <item x="94"/>
        <item x="17"/>
        <item x="51"/>
        <item x="80"/>
        <item x="182"/>
        <item x="115"/>
        <item x="62"/>
        <item x="193"/>
        <item x="42"/>
        <item x="225"/>
        <item x="147"/>
        <item x="85"/>
        <item x="233"/>
        <item x="117"/>
        <item x="61"/>
        <item x="88"/>
        <item x="174"/>
        <item x="73"/>
        <item x="13"/>
        <item x="196"/>
        <item x="18"/>
        <item x="180"/>
        <item x="48"/>
        <item x="133"/>
        <item x="185"/>
        <item x="167"/>
        <item x="256"/>
        <item x="11"/>
        <item x="25"/>
        <item x="34"/>
        <item x="217"/>
        <item x="82"/>
        <item x="199"/>
        <item x="72"/>
        <item x="142"/>
        <item x="129"/>
        <item x="27"/>
        <item x="265"/>
        <item x="104"/>
        <item x="283"/>
        <item x="5"/>
        <item x="246"/>
        <item x="252"/>
        <item x="219"/>
        <item x="49"/>
        <item x="96"/>
        <item x="251"/>
        <item x="65"/>
        <item x="231"/>
        <item x="23"/>
        <item x="192"/>
        <item x="19"/>
        <item x="3"/>
        <item x="92"/>
        <item x="37"/>
        <item x="278"/>
        <item x="144"/>
        <item x="152"/>
        <item x="102"/>
        <item x="108"/>
        <item x="57"/>
        <item x="261"/>
        <item x="26"/>
        <item x="127"/>
        <item x="264"/>
        <item x="53"/>
        <item x="257"/>
        <item x="123"/>
        <item x="271"/>
        <item x="228"/>
        <item x="130"/>
        <item x="111"/>
        <item x="234"/>
        <item x="226"/>
        <item x="78"/>
        <item x="138"/>
        <item x="237"/>
        <item x="275"/>
        <item x="43"/>
        <item x="68"/>
        <item x="149"/>
        <item x="296"/>
        <item x="165"/>
        <item x="8"/>
        <item x="244"/>
        <item x="286"/>
        <item x="1"/>
        <item x="15"/>
        <item x="33"/>
        <item x="287"/>
        <item x="279"/>
        <item x="162"/>
        <item x="245"/>
        <item x="202"/>
        <item x="266"/>
        <item x="55"/>
        <item x="67"/>
        <item x="140"/>
        <item x="84"/>
        <item x="83"/>
        <item x="240"/>
        <item x="47"/>
        <item x="71"/>
        <item x="141"/>
        <item x="184"/>
        <item x="169"/>
        <item x="44"/>
        <item x="216"/>
        <item x="30"/>
        <item x="163"/>
        <item x="205"/>
        <item x="154"/>
        <item x="292"/>
        <item x="254"/>
        <item x="110"/>
        <item x="243"/>
        <item x="70"/>
        <item x="179"/>
        <item x="222"/>
        <item x="253"/>
        <item x="269"/>
        <item x="16"/>
        <item x="148"/>
        <item x="60"/>
        <item x="189"/>
        <item x="135"/>
        <item x="241"/>
        <item x="87"/>
        <item x="93"/>
        <item x="210"/>
        <item x="56"/>
        <item x="260"/>
        <item x="126"/>
        <item x="247"/>
        <item x="52"/>
        <item x="150"/>
        <item x="263"/>
        <item x="7"/>
        <item x="64"/>
        <item x="173"/>
        <item x="285"/>
        <item x="250"/>
        <item x="198"/>
        <item x="227"/>
        <item x="107"/>
        <item x="106"/>
        <item x="22"/>
        <item x="20"/>
        <item x="281"/>
        <item x="293"/>
        <item x="125"/>
        <item x="284"/>
        <item x="201"/>
        <item x="137"/>
        <item x="121"/>
        <item x="280"/>
        <item x="155"/>
        <item x="38"/>
        <item x="223"/>
        <item x="21"/>
        <item x="213"/>
        <item x="262"/>
        <item x="41"/>
        <item x="236"/>
        <item x="89"/>
        <item x="282"/>
        <item x="177"/>
        <item x="178"/>
        <item x="46"/>
        <item x="268"/>
        <item x="181"/>
        <item x="172"/>
        <item x="229"/>
        <item x="235"/>
        <item x="209"/>
        <item x="124"/>
        <item x="101"/>
        <item x="204"/>
        <item x="114"/>
        <item x="139"/>
        <item x="59"/>
        <item x="230"/>
        <item x="153"/>
        <item x="207"/>
        <item x="218"/>
        <item x="288"/>
        <item x="77"/>
        <item x="128"/>
        <item x="195"/>
        <item x="105"/>
        <item x="221"/>
        <item x="272"/>
        <item x="76"/>
        <item x="203"/>
        <item x="232"/>
        <item x="259"/>
        <item x="197"/>
        <item x="97"/>
        <item x="10"/>
        <item x="224"/>
        <item x="4"/>
        <item x="14"/>
        <item x="81"/>
        <item x="132"/>
        <item x="112"/>
        <item x="109"/>
        <item x="200"/>
        <item x="66"/>
        <item x="161"/>
        <item x="120"/>
        <item x="194"/>
        <item x="2"/>
        <item x="32"/>
        <item x="75"/>
        <item x="211"/>
        <item x="98"/>
        <item x="95"/>
        <item x="267"/>
        <item x="113"/>
        <item x="143"/>
        <item x="0"/>
        <item x="69"/>
        <item x="277"/>
        <item x="220"/>
        <item x="131"/>
        <item x="9"/>
        <item x="290"/>
        <item x="86"/>
        <item x="186"/>
        <item x="54"/>
        <item x="146"/>
        <item x="183"/>
        <item x="297"/>
        <item x="156"/>
        <item x="119"/>
        <item x="176"/>
        <item x="145"/>
        <item x="295"/>
        <item x="258"/>
        <item x="214"/>
        <item x="187"/>
        <item x="188"/>
        <item x="28"/>
        <item x="170"/>
        <item x="35"/>
        <item x="191"/>
        <item x="90"/>
        <item x="242"/>
        <item x="79"/>
        <item x="159"/>
        <item x="39"/>
        <item x="289"/>
        <item x="168"/>
        <item x="248"/>
        <item x="100"/>
        <item x="298"/>
        <item t="default"/>
      </items>
    </pivotField>
    <pivotField compact="0" showAll="0">
      <items count="302">
        <item x="2"/>
        <item x="156"/>
        <item x="262"/>
        <item x="91"/>
        <item x="192"/>
        <item x="185"/>
        <item x="202"/>
        <item x="216"/>
        <item x="160"/>
        <item x="274"/>
        <item x="117"/>
        <item x="222"/>
        <item x="272"/>
        <item x="18"/>
        <item x="258"/>
        <item x="270"/>
        <item x="81"/>
        <item x="103"/>
        <item x="253"/>
        <item x="20"/>
        <item x="194"/>
        <item x="265"/>
        <item x="90"/>
        <item x="227"/>
        <item x="34"/>
        <item x="154"/>
        <item x="152"/>
        <item x="161"/>
        <item x="268"/>
        <item x="241"/>
        <item x="138"/>
        <item x="164"/>
        <item x="32"/>
        <item x="17"/>
        <item x="73"/>
        <item x="43"/>
        <item x="183"/>
        <item x="242"/>
        <item x="204"/>
        <item x="276"/>
        <item x="158"/>
        <item x="188"/>
        <item x="266"/>
        <item x="153"/>
        <item x="74"/>
        <item x="41"/>
        <item x="291"/>
        <item x="8"/>
        <item x="62"/>
        <item x="178"/>
        <item x="25"/>
        <item x="220"/>
        <item x="200"/>
        <item x="240"/>
        <item x="127"/>
        <item x="269"/>
        <item x="131"/>
        <item x="243"/>
        <item x="54"/>
        <item x="261"/>
        <item x="42"/>
        <item x="282"/>
        <item x="125"/>
        <item x="58"/>
        <item x="120"/>
        <item x="146"/>
        <item x="228"/>
        <item x="249"/>
        <item x="89"/>
        <item x="237"/>
        <item x="186"/>
        <item x="150"/>
        <item x="234"/>
        <item x="24"/>
        <item x="130"/>
        <item x="277"/>
        <item x="176"/>
        <item x="116"/>
        <item x="134"/>
        <item x="79"/>
        <item x="280"/>
        <item x="55"/>
        <item x="48"/>
        <item x="169"/>
        <item x="92"/>
        <item x="136"/>
        <item x="292"/>
        <item x="72"/>
        <item x="52"/>
        <item x="203"/>
        <item x="53"/>
        <item x="273"/>
        <item x="75"/>
        <item x="27"/>
        <item x="93"/>
        <item x="198"/>
        <item x="145"/>
        <item x="296"/>
        <item x="39"/>
        <item x="36"/>
        <item x="163"/>
        <item x="140"/>
        <item x="229"/>
        <item x="271"/>
        <item x="30"/>
        <item x="16"/>
        <item x="170"/>
        <item x="6"/>
        <item x="151"/>
        <item x="40"/>
        <item x="14"/>
        <item x="187"/>
        <item x="98"/>
        <item x="49"/>
        <item x="232"/>
        <item x="133"/>
        <item x="245"/>
        <item x="88"/>
        <item x="184"/>
        <item x="281"/>
        <item x="3"/>
        <item x="189"/>
        <item x="19"/>
        <item x="173"/>
        <item x="115"/>
        <item x="66"/>
        <item x="172"/>
        <item x="197"/>
        <item x="64"/>
        <item x="196"/>
        <item x="80"/>
        <item x="181"/>
        <item x="231"/>
        <item x="60"/>
        <item x="57"/>
        <item x="218"/>
        <item x="193"/>
        <item x="175"/>
        <item x="267"/>
        <item x="255"/>
        <item x="162"/>
        <item x="26"/>
        <item x="82"/>
        <item x="104"/>
        <item x="28"/>
        <item x="168"/>
        <item x="223"/>
        <item x="126"/>
        <item x="238"/>
        <item x="250"/>
        <item x="213"/>
        <item x="35"/>
        <item x="97"/>
        <item x="205"/>
        <item x="107"/>
        <item x="190"/>
        <item x="15"/>
        <item x="45"/>
        <item x="209"/>
        <item x="289"/>
        <item x="85"/>
        <item x="83"/>
        <item x="278"/>
        <item x="37"/>
        <item x="46"/>
        <item x="259"/>
        <item x="108"/>
        <item x="257"/>
        <item x="251"/>
        <item x="10"/>
        <item x="246"/>
        <item x="56"/>
        <item x="70"/>
        <item x="199"/>
        <item x="283"/>
        <item x="182"/>
        <item x="221"/>
        <item x="263"/>
        <item x="129"/>
        <item x="11"/>
        <item x="297"/>
        <item x="285"/>
        <item x="191"/>
        <item x="260"/>
        <item x="69"/>
        <item x="155"/>
        <item x="119"/>
        <item x="31"/>
        <item x="86"/>
        <item x="275"/>
        <item x="128"/>
        <item x="174"/>
        <item x="180"/>
        <item x="293"/>
        <item x="149"/>
        <item x="110"/>
        <item x="147"/>
        <item x="287"/>
        <item x="47"/>
        <item x="111"/>
        <item x="51"/>
        <item x="279"/>
        <item x="247"/>
        <item x="217"/>
        <item x="12"/>
        <item x="7"/>
        <item x="78"/>
        <item x="50"/>
        <item x="77"/>
        <item x="171"/>
        <item x="100"/>
        <item x="256"/>
        <item x="132"/>
        <item x="29"/>
        <item x="84"/>
        <item x="195"/>
        <item x="290"/>
        <item x="206"/>
        <item x="143"/>
        <item x="144"/>
        <item x="224"/>
        <item x="141"/>
        <item x="211"/>
        <item x="1"/>
        <item x="165"/>
        <item x="148"/>
        <item x="295"/>
        <item x="94"/>
        <item x="294"/>
        <item x="233"/>
        <item x="109"/>
        <item x="177"/>
        <item x="299"/>
        <item x="230"/>
        <item x="137"/>
        <item x="286"/>
        <item x="68"/>
        <item x="159"/>
        <item x="114"/>
        <item x="235"/>
        <item x="252"/>
        <item x="123"/>
        <item x="0"/>
        <item x="207"/>
        <item x="288"/>
        <item x="33"/>
        <item x="226"/>
        <item x="113"/>
        <item x="236"/>
        <item x="101"/>
        <item x="96"/>
        <item x="71"/>
        <item x="102"/>
        <item x="254"/>
        <item x="298"/>
        <item x="122"/>
        <item x="61"/>
        <item x="248"/>
        <item x="4"/>
        <item x="210"/>
        <item x="95"/>
        <item x="76"/>
        <item x="9"/>
        <item x="118"/>
        <item x="67"/>
        <item x="23"/>
        <item x="44"/>
        <item x="106"/>
        <item x="244"/>
        <item x="139"/>
        <item x="142"/>
        <item x="166"/>
        <item x="215"/>
        <item x="105"/>
        <item x="157"/>
        <item x="201"/>
        <item x="284"/>
        <item x="239"/>
        <item x="208"/>
        <item x="99"/>
        <item x="5"/>
        <item x="13"/>
        <item x="59"/>
        <item x="219"/>
        <item x="135"/>
        <item x="63"/>
        <item x="38"/>
        <item x="22"/>
        <item x="112"/>
        <item x="212"/>
        <item x="214"/>
        <item x="87"/>
        <item x="21"/>
        <item x="167"/>
        <item x="65"/>
        <item x="179"/>
        <item x="264"/>
        <item x="121"/>
        <item x="124"/>
        <item x="225"/>
        <item x="300"/>
        <item t="default"/>
      </items>
    </pivotField>
    <pivotField compact="0" showAll="0">
      <items count="7">
        <item x="4"/>
        <item x="1"/>
        <item x="0"/>
        <item x="3"/>
        <item x="2"/>
        <item x="5"/>
        <item t="default"/>
      </items>
    </pivotField>
    <pivotField compact="0" showAll="0">
      <items count="302">
        <item x="224"/>
        <item x="65"/>
        <item x="201"/>
        <item x="23"/>
        <item x="63"/>
        <item x="147"/>
        <item x="137"/>
        <item x="195"/>
        <item x="217"/>
        <item x="135"/>
        <item x="106"/>
        <item x="85"/>
        <item x="286"/>
        <item x="208"/>
        <item x="212"/>
        <item x="98"/>
        <item x="97"/>
        <item x="61"/>
        <item x="252"/>
        <item x="104"/>
        <item x="254"/>
        <item x="22"/>
        <item x="207"/>
        <item x="125"/>
        <item x="180"/>
        <item x="105"/>
        <item x="179"/>
        <item x="251"/>
        <item x="31"/>
        <item x="67"/>
        <item x="260"/>
        <item x="9"/>
        <item x="79"/>
        <item x="95"/>
        <item x="248"/>
        <item x="45"/>
        <item x="232"/>
        <item x="264"/>
        <item x="37"/>
        <item x="219"/>
        <item x="166"/>
        <item x="119"/>
        <item x="186"/>
        <item x="165"/>
        <item x="74"/>
        <item x="10"/>
        <item x="111"/>
        <item x="276"/>
        <item x="76"/>
        <item x="5"/>
        <item x="191"/>
        <item x="283"/>
        <item x="84"/>
        <item x="275"/>
        <item x="33"/>
        <item x="295"/>
        <item x="187"/>
        <item x="55"/>
        <item x="13"/>
        <item x="3"/>
        <item x="99"/>
        <item x="261"/>
        <item x="73"/>
        <item x="90"/>
        <item x="243"/>
        <item x="56"/>
        <item x="19"/>
        <item x="222"/>
        <item x="109"/>
        <item x="236"/>
        <item x="15"/>
        <item x="82"/>
        <item x="244"/>
        <item x="175"/>
        <item x="238"/>
        <item x="167"/>
        <item x="49"/>
        <item x="162"/>
        <item x="0"/>
        <item x="285"/>
        <item x="141"/>
        <item x="100"/>
        <item x="229"/>
        <item x="68"/>
        <item x="59"/>
        <item x="78"/>
        <item x="86"/>
        <item x="124"/>
        <item x="281"/>
        <item x="196"/>
        <item x="213"/>
        <item x="11"/>
        <item x="155"/>
        <item x="210"/>
        <item x="177"/>
        <item x="129"/>
        <item x="221"/>
        <item x="144"/>
        <item x="150"/>
        <item x="174"/>
        <item x="284"/>
        <item x="280"/>
        <item x="102"/>
        <item x="287"/>
        <item x="101"/>
        <item x="296"/>
        <item x="271"/>
        <item x="44"/>
        <item x="113"/>
        <item x="157"/>
        <item x="197"/>
        <item x="218"/>
        <item x="173"/>
        <item x="215"/>
        <item x="214"/>
        <item x="279"/>
        <item x="170"/>
        <item x="21"/>
        <item x="126"/>
        <item x="172"/>
        <item x="132"/>
        <item x="122"/>
        <item x="48"/>
        <item x="38"/>
        <item x="71"/>
        <item x="88"/>
        <item x="257"/>
        <item x="80"/>
        <item x="46"/>
        <item x="14"/>
        <item x="188"/>
        <item x="211"/>
        <item x="114"/>
        <item x="47"/>
        <item x="145"/>
        <item x="121"/>
        <item x="70"/>
        <item x="117"/>
        <item x="178"/>
        <item x="282"/>
        <item x="128"/>
        <item x="278"/>
        <item x="294"/>
        <item x="298"/>
        <item x="226"/>
        <item x="133"/>
        <item x="273"/>
        <item x="225"/>
        <item x="146"/>
        <item x="87"/>
        <item x="139"/>
        <item x="142"/>
        <item x="81"/>
        <item x="190"/>
        <item x="107"/>
        <item x="171"/>
        <item x="209"/>
        <item x="112"/>
        <item x="118"/>
        <item x="189"/>
        <item x="51"/>
        <item x="206"/>
        <item x="72"/>
        <item x="239"/>
        <item x="123"/>
        <item x="96"/>
        <item x="148"/>
        <item x="94"/>
        <item x="247"/>
        <item x="77"/>
        <item x="199"/>
        <item x="159"/>
        <item x="7"/>
        <item x="30"/>
        <item x="193"/>
        <item x="233"/>
        <item x="267"/>
        <item x="110"/>
        <item x="230"/>
        <item x="1"/>
        <item x="250"/>
        <item x="4"/>
        <item x="131"/>
        <item x="182"/>
        <item x="39"/>
        <item x="290"/>
        <item x="149"/>
        <item x="156"/>
        <item x="36"/>
        <item x="168"/>
        <item x="288"/>
        <item x="235"/>
        <item x="249"/>
        <item x="69"/>
        <item x="263"/>
        <item x="108"/>
        <item x="143"/>
        <item x="181"/>
        <item x="259"/>
        <item x="194"/>
        <item x="256"/>
        <item x="50"/>
        <item x="16"/>
        <item x="299"/>
        <item x="83"/>
        <item x="297"/>
        <item x="32"/>
        <item x="115"/>
        <item x="29"/>
        <item x="246"/>
        <item x="42"/>
        <item x="223"/>
        <item x="66"/>
        <item x="12"/>
        <item x="205"/>
        <item x="183"/>
        <item x="35"/>
        <item x="160"/>
        <item x="151"/>
        <item x="237"/>
        <item x="140"/>
        <item x="293"/>
        <item x="134"/>
        <item x="289"/>
        <item x="116"/>
        <item x="24"/>
        <item x="64"/>
        <item x="262"/>
        <item x="53"/>
        <item x="200"/>
        <item x="26"/>
        <item x="40"/>
        <item x="93"/>
        <item x="163"/>
        <item x="28"/>
        <item x="184"/>
        <item x="234"/>
        <item x="231"/>
        <item x="103"/>
        <item x="60"/>
        <item x="8"/>
        <item x="270"/>
        <item x="154"/>
        <item x="255"/>
        <item x="245"/>
        <item x="153"/>
        <item x="240"/>
        <item x="57"/>
        <item x="2"/>
        <item x="266"/>
        <item x="269"/>
        <item x="34"/>
        <item x="75"/>
        <item x="228"/>
        <item x="6"/>
        <item x="120"/>
        <item x="136"/>
        <item x="62"/>
        <item x="27"/>
        <item x="130"/>
        <item x="198"/>
        <item x="202"/>
        <item x="58"/>
        <item x="220"/>
        <item x="277"/>
        <item x="292"/>
        <item x="92"/>
        <item x="41"/>
        <item x="203"/>
        <item x="89"/>
        <item x="43"/>
        <item x="52"/>
        <item x="169"/>
        <item x="25"/>
        <item x="138"/>
        <item x="176"/>
        <item x="164"/>
        <item x="242"/>
        <item x="20"/>
        <item x="54"/>
        <item x="258"/>
        <item x="192"/>
        <item x="17"/>
        <item x="253"/>
        <item x="241"/>
        <item x="227"/>
        <item x="161"/>
        <item x="127"/>
        <item x="216"/>
        <item x="291"/>
        <item x="204"/>
        <item x="152"/>
        <item x="158"/>
        <item x="91"/>
        <item x="272"/>
        <item x="265"/>
        <item x="268"/>
        <item x="274"/>
        <item x="185"/>
        <item x="18"/>
        <item x="300"/>
        <item t="default"/>
      </items>
    </pivotField>
  </pivotFields>
  <rowFields count="1">
    <field x="4"/>
  </rowFields>
  <rowItems count="12">
    <i>
      <x v="1"/>
    </i>
    <i>
      <x v="3"/>
    </i>
    <i>
      <x v="2"/>
    </i>
    <i>
      <x v="5"/>
    </i>
    <i>
      <x v="7"/>
    </i>
    <i>
      <x v="6"/>
    </i>
    <i>
      <x v="4"/>
    </i>
    <i>
      <x/>
    </i>
    <i>
      <x v="8"/>
    </i>
    <i>
      <x v="9"/>
    </i>
    <i>
      <x v="10"/>
    </i>
    <i t="grand">
      <x/>
    </i>
  </rowItems>
  <colItems count="1">
    <i/>
  </colItems>
  <dataFields count="1">
    <dataField name="Count of Post ID" fld="0" subtotal="count" baseField="0" baseItem="0"/>
  </dataFields>
  <formats count="11">
    <format dxfId="7">
      <pivotArea collapsedLevelsAreSubtotals="1" fieldPosition="0">
        <references count="1">
          <reference field="4" count="1" selected="0">
            <x v="1"/>
          </reference>
        </references>
      </pivotArea>
    </format>
    <format dxfId="7">
      <pivotArea collapsedLevelsAreSubtotals="1" fieldPosition="0">
        <references count="1">
          <reference field="4" count="1" selected="0">
            <x v="3"/>
          </reference>
        </references>
      </pivotArea>
    </format>
    <format dxfId="7">
      <pivotArea collapsedLevelsAreSubtotals="1" fieldPosition="0">
        <references count="1">
          <reference field="4" count="1" selected="0">
            <x v="2"/>
          </reference>
        </references>
      </pivotArea>
    </format>
    <format dxfId="7">
      <pivotArea collapsedLevelsAreSubtotals="1" fieldPosition="0">
        <references count="1">
          <reference field="4" count="1" selected="0">
            <x v="5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7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4"/>
          </reference>
        </references>
      </pivotArea>
    </format>
    <format dxfId="7">
      <pivotArea collapsedLevelsAreSubtotals="1" fieldPosition="0">
        <references count="1">
          <reference field="4" count="1" selected="0">
            <x v="0"/>
          </reference>
        </references>
      </pivotArea>
    </format>
    <format dxfId="7">
      <pivotArea collapsedLevelsAreSubtotals="1" fieldPosition="0">
        <references count="1">
          <reference field="4" count="1" selected="0">
            <x v="8"/>
          </reference>
        </references>
      </pivotArea>
    </format>
    <format dxfId="7">
      <pivotArea collapsedLevelsAreSubtotals="1" fieldPosition="0">
        <references count="1">
          <reference field="4" count="1" selected="0">
            <x v="9"/>
          </reference>
        </references>
      </pivotArea>
    </format>
    <format dxfId="7">
      <pivotArea collapsedLevelsAreSubtotals="1" fieldPosition="0">
        <references count="1">
          <reference field="4" count="1" selected="0">
            <x v="10"/>
          </reference>
        </references>
      </pivotArea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4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18:C24" firstHeaderRow="1" firstDataRow="1" firstDataCol="1"/>
  <pivotFields count="7">
    <pivotField axis="axisRow"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dataField="1" compact="0" showAll="0">
      <items count="6">
        <item x="3"/>
        <item x="1"/>
        <item x="2"/>
        <item x="0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gagement_Uplift" fld="6" subtotal="average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4" cacheId="2" autoFormat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4:H10" firstHeaderRow="0" firstDataRow="1" firstDataCol="1"/>
  <pivotFields count="14">
    <pivotField compact="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64" showAll="0">
      <items count="211">
        <item x="122"/>
        <item x="125"/>
        <item x="25"/>
        <item x="133"/>
        <item x="0"/>
        <item x="29"/>
        <item x="146"/>
        <item x="9"/>
        <item x="49"/>
        <item x="86"/>
        <item x="166"/>
        <item x="99"/>
        <item x="196"/>
        <item x="181"/>
        <item x="91"/>
        <item x="40"/>
        <item x="201"/>
        <item x="97"/>
        <item x="162"/>
        <item x="13"/>
        <item x="78"/>
        <item x="20"/>
        <item x="194"/>
        <item x="180"/>
        <item x="23"/>
        <item x="75"/>
        <item x="128"/>
        <item x="206"/>
        <item x="43"/>
        <item x="150"/>
        <item x="31"/>
        <item x="90"/>
        <item x="12"/>
        <item x="5"/>
        <item x="21"/>
        <item x="124"/>
        <item x="118"/>
        <item x="83"/>
        <item x="191"/>
        <item x="175"/>
        <item x="18"/>
        <item x="35"/>
        <item x="136"/>
        <item x="38"/>
        <item x="204"/>
        <item x="193"/>
        <item x="131"/>
        <item x="4"/>
        <item x="33"/>
        <item x="2"/>
        <item x="163"/>
        <item x="82"/>
        <item x="37"/>
        <item x="120"/>
        <item x="103"/>
        <item x="179"/>
        <item x="152"/>
        <item x="172"/>
        <item x="113"/>
        <item x="10"/>
        <item x="144"/>
        <item x="177"/>
        <item x="16"/>
        <item x="84"/>
        <item x="189"/>
        <item x="1"/>
        <item x="159"/>
        <item x="3"/>
        <item x="17"/>
        <item x="95"/>
        <item x="209"/>
        <item x="19"/>
        <item x="7"/>
        <item x="119"/>
        <item x="105"/>
        <item x="26"/>
        <item x="185"/>
        <item x="135"/>
        <item x="174"/>
        <item x="147"/>
        <item x="114"/>
        <item x="6"/>
        <item x="199"/>
        <item x="77"/>
        <item x="190"/>
        <item x="142"/>
        <item x="202"/>
        <item x="100"/>
        <item x="88"/>
        <item x="80"/>
        <item x="64"/>
        <item x="126"/>
        <item x="60"/>
        <item x="93"/>
        <item x="130"/>
        <item x="67"/>
        <item x="155"/>
        <item x="45"/>
        <item x="176"/>
        <item x="121"/>
        <item x="137"/>
        <item x="72"/>
        <item x="141"/>
        <item x="164"/>
        <item x="92"/>
        <item x="170"/>
        <item x="138"/>
        <item x="187"/>
        <item x="110"/>
        <item x="96"/>
        <item x="104"/>
        <item x="117"/>
        <item x="14"/>
        <item x="41"/>
        <item x="102"/>
        <item x="203"/>
        <item x="55"/>
        <item x="30"/>
        <item x="53"/>
        <item x="186"/>
        <item x="167"/>
        <item x="62"/>
        <item x="139"/>
        <item x="101"/>
        <item x="47"/>
        <item x="69"/>
        <item x="134"/>
        <item x="28"/>
        <item x="109"/>
        <item x="145"/>
        <item x="183"/>
        <item x="46"/>
        <item x="197"/>
        <item x="140"/>
        <item x="87"/>
        <item x="132"/>
        <item x="151"/>
        <item x="182"/>
        <item x="94"/>
        <item x="36"/>
        <item x="34"/>
        <item x="207"/>
        <item x="24"/>
        <item x="50"/>
        <item x="178"/>
        <item x="98"/>
        <item x="44"/>
        <item x="81"/>
        <item x="15"/>
        <item x="111"/>
        <item x="123"/>
        <item x="57"/>
        <item x="107"/>
        <item x="165"/>
        <item x="42"/>
        <item x="173"/>
        <item x="76"/>
        <item x="63"/>
        <item x="188"/>
        <item x="116"/>
        <item x="89"/>
        <item x="74"/>
        <item x="184"/>
        <item x="171"/>
        <item x="195"/>
        <item x="143"/>
        <item x="129"/>
        <item x="168"/>
        <item x="32"/>
        <item x="169"/>
        <item x="127"/>
        <item x="161"/>
        <item x="85"/>
        <item x="112"/>
        <item x="160"/>
        <item x="61"/>
        <item x="59"/>
        <item x="58"/>
        <item x="56"/>
        <item x="54"/>
        <item x="51"/>
        <item x="48"/>
        <item x="39"/>
        <item x="27"/>
        <item x="22"/>
        <item x="11"/>
        <item x="8"/>
        <item x="71"/>
        <item x="68"/>
        <item x="208"/>
        <item x="205"/>
        <item x="200"/>
        <item x="198"/>
        <item x="192"/>
        <item x="108"/>
        <item x="79"/>
        <item x="158"/>
        <item x="154"/>
        <item x="149"/>
        <item x="148"/>
        <item x="153"/>
        <item x="73"/>
        <item x="52"/>
        <item x="66"/>
        <item x="157"/>
        <item x="115"/>
        <item x="106"/>
        <item x="70"/>
        <item x="65"/>
        <item x="156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12">
        <item x="8"/>
        <item x="3"/>
        <item x="0"/>
        <item x="2"/>
        <item x="7"/>
        <item x="4"/>
        <item x="10"/>
        <item x="5"/>
        <item x="9"/>
        <item x="6"/>
        <item x="1"/>
        <item t="default"/>
      </items>
    </pivotField>
    <pivotField compact="0" showAll="0">
      <items count="12">
        <item x="1"/>
        <item x="4"/>
        <item x="5"/>
        <item x="0"/>
        <item x="2"/>
        <item x="8"/>
        <item x="9"/>
        <item x="3"/>
        <item x="6"/>
        <item x="10"/>
        <item x="7"/>
        <item t="default"/>
      </items>
    </pivotField>
    <pivotField dataField="1" compact="0" showAll="0">
      <items count="297">
        <item x="90"/>
        <item x="220"/>
        <item x="124"/>
        <item x="222"/>
        <item x="74"/>
        <item x="73"/>
        <item x="259"/>
        <item x="116"/>
        <item x="241"/>
        <item x="184"/>
        <item x="23"/>
        <item x="79"/>
        <item x="199"/>
        <item x="65"/>
        <item x="146"/>
        <item x="81"/>
        <item x="154"/>
        <item x="98"/>
        <item x="193"/>
        <item x="97"/>
        <item x="55"/>
        <item x="215"/>
        <item x="230"/>
        <item x="85"/>
        <item x="158"/>
        <item x="136"/>
        <item x="186"/>
        <item x="192"/>
        <item x="260"/>
        <item x="45"/>
        <item x="176"/>
        <item x="63"/>
        <item x="148"/>
        <item x="277"/>
        <item x="249"/>
        <item x="185"/>
        <item x="283"/>
        <item x="258"/>
        <item x="105"/>
        <item x="279"/>
        <item x="134"/>
        <item x="37"/>
        <item x="227"/>
        <item x="49"/>
        <item x="210"/>
        <item x="178"/>
        <item x="3"/>
        <item x="19"/>
        <item x="250"/>
        <item x="10"/>
        <item x="61"/>
        <item x="2"/>
        <item x="31"/>
        <item x="292"/>
        <item x="48"/>
        <item x="205"/>
        <item x="252"/>
        <item x="206"/>
        <item x="236"/>
        <item x="82"/>
        <item x="130"/>
        <item x="118"/>
        <item x="280"/>
        <item x="145"/>
        <item x="32"/>
        <item x="189"/>
        <item x="200"/>
        <item x="67"/>
        <item x="56"/>
        <item x="268"/>
        <item x="173"/>
        <item x="181"/>
        <item x="103"/>
        <item x="269"/>
        <item x="273"/>
        <item x="278"/>
        <item x="104"/>
        <item x="177"/>
        <item x="168"/>
        <item x="246"/>
        <item x="110"/>
        <item x="160"/>
        <item x="144"/>
        <item x="211"/>
        <item x="15"/>
        <item x="194"/>
        <item x="152"/>
        <item x="9"/>
        <item x="14"/>
        <item x="163"/>
        <item x="247"/>
        <item x="95"/>
        <item x="22"/>
        <item x="84"/>
        <item x="291"/>
        <item x="42"/>
        <item x="88"/>
        <item x="271"/>
        <item x="171"/>
        <item x="195"/>
        <item x="282"/>
        <item x="164"/>
        <item x="11"/>
        <item x="216"/>
        <item x="190"/>
        <item x="198"/>
        <item x="72"/>
        <item x="170"/>
        <item x="219"/>
        <item x="34"/>
        <item x="262"/>
        <item x="80"/>
        <item x="33"/>
        <item x="128"/>
        <item x="76"/>
        <item x="217"/>
        <item x="125"/>
        <item x="132"/>
        <item x="108"/>
        <item x="13"/>
        <item x="5"/>
        <item x="100"/>
        <item x="172"/>
        <item x="68"/>
        <item x="86"/>
        <item x="264"/>
        <item x="46"/>
        <item x="30"/>
        <item x="284"/>
        <item x="242"/>
        <item x="256"/>
        <item x="153"/>
        <item x="36"/>
        <item x="8"/>
        <item x="187"/>
        <item x="0"/>
        <item x="99"/>
        <item x="39"/>
        <item x="235"/>
        <item x="234"/>
        <item x="238"/>
        <item x="151"/>
        <item x="78"/>
        <item x="140"/>
        <item x="133"/>
        <item x="62"/>
        <item x="115"/>
        <item x="255"/>
        <item x="24"/>
        <item x="175"/>
        <item x="214"/>
        <item x="143"/>
        <item x="267"/>
        <item x="276"/>
        <item x="20"/>
        <item x="162"/>
        <item x="275"/>
        <item x="53"/>
        <item x="232"/>
        <item x="101"/>
        <item x="265"/>
        <item x="43"/>
        <item x="70"/>
        <item x="188"/>
        <item x="47"/>
        <item x="106"/>
        <item x="251"/>
        <item x="165"/>
        <item x="102"/>
        <item x="91"/>
        <item x="218"/>
        <item x="137"/>
        <item x="16"/>
        <item x="119"/>
        <item x="59"/>
        <item x="191"/>
        <item x="208"/>
        <item x="226"/>
        <item x="207"/>
        <item x="114"/>
        <item x="248"/>
        <item x="112"/>
        <item x="131"/>
        <item x="123"/>
        <item x="139"/>
        <item x="127"/>
        <item x="240"/>
        <item x="225"/>
        <item x="149"/>
        <item x="121"/>
        <item x="166"/>
        <item x="281"/>
        <item x="44"/>
        <item x="41"/>
        <item x="197"/>
        <item x="93"/>
        <item x="209"/>
        <item x="66"/>
        <item x="179"/>
        <item x="71"/>
        <item x="270"/>
        <item x="25"/>
        <item x="113"/>
        <item x="58"/>
        <item x="155"/>
        <item x="161"/>
        <item x="213"/>
        <item x="17"/>
        <item x="159"/>
        <item x="239"/>
        <item x="129"/>
        <item x="180"/>
        <item x="290"/>
        <item x="107"/>
        <item x="169"/>
        <item x="40"/>
        <item x="21"/>
        <item x="89"/>
        <item x="212"/>
        <item x="245"/>
        <item x="221"/>
        <item x="257"/>
        <item x="51"/>
        <item x="272"/>
        <item x="38"/>
        <item x="150"/>
        <item x="203"/>
        <item x="77"/>
        <item x="135"/>
        <item x="35"/>
        <item x="224"/>
        <item x="182"/>
        <item x="7"/>
        <item x="64"/>
        <item x="109"/>
        <item x="204"/>
        <item x="147"/>
        <item x="294"/>
        <item x="261"/>
        <item x="274"/>
        <item x="183"/>
        <item x="69"/>
        <item x="94"/>
        <item x="83"/>
        <item x="293"/>
        <item x="244"/>
        <item x="122"/>
        <item x="243"/>
        <item x="157"/>
        <item x="202"/>
        <item x="27"/>
        <item x="75"/>
        <item x="263"/>
        <item x="231"/>
        <item x="1"/>
        <item x="54"/>
        <item x="196"/>
        <item x="26"/>
        <item x="288"/>
        <item x="141"/>
        <item x="286"/>
        <item x="228"/>
        <item x="138"/>
        <item x="92"/>
        <item x="174"/>
        <item x="120"/>
        <item x="229"/>
        <item x="60"/>
        <item x="167"/>
        <item x="96"/>
        <item x="6"/>
        <item x="117"/>
        <item x="18"/>
        <item x="28"/>
        <item x="52"/>
        <item x="142"/>
        <item x="4"/>
        <item x="254"/>
        <item x="156"/>
        <item x="287"/>
        <item x="50"/>
        <item x="253"/>
        <item x="223"/>
        <item x="126"/>
        <item x="285"/>
        <item x="266"/>
        <item x="87"/>
        <item x="295"/>
        <item x="237"/>
        <item x="12"/>
        <item x="111"/>
        <item x="289"/>
        <item x="233"/>
        <item x="201"/>
        <item x="29"/>
        <item x="57"/>
        <item t="default"/>
      </items>
    </pivotField>
    <pivotField compact="0" showAll="0">
      <items count="272">
        <item x="93"/>
        <item x="195"/>
        <item x="137"/>
        <item x="15"/>
        <item x="28"/>
        <item x="188"/>
        <item x="8"/>
        <item x="223"/>
        <item x="71"/>
        <item x="90"/>
        <item x="196"/>
        <item x="78"/>
        <item x="80"/>
        <item x="81"/>
        <item x="25"/>
        <item x="254"/>
        <item x="168"/>
        <item x="107"/>
        <item x="218"/>
        <item x="16"/>
        <item x="86"/>
        <item x="173"/>
        <item x="128"/>
        <item x="169"/>
        <item x="123"/>
        <item x="20"/>
        <item x="152"/>
        <item x="59"/>
        <item x="178"/>
        <item x="241"/>
        <item x="259"/>
        <item x="82"/>
        <item x="22"/>
        <item x="154"/>
        <item x="1"/>
        <item x="68"/>
        <item x="65"/>
        <item x="131"/>
        <item x="208"/>
        <item x="134"/>
        <item x="214"/>
        <item x="46"/>
        <item x="170"/>
        <item x="145"/>
        <item x="219"/>
        <item x="143"/>
        <item x="182"/>
        <item x="39"/>
        <item x="57"/>
        <item x="242"/>
        <item x="200"/>
        <item x="30"/>
        <item x="2"/>
        <item x="32"/>
        <item x="50"/>
        <item x="98"/>
        <item x="239"/>
        <item x="119"/>
        <item x="235"/>
        <item x="193"/>
        <item x="191"/>
        <item x="41"/>
        <item x="105"/>
        <item x="5"/>
        <item x="163"/>
        <item x="61"/>
        <item x="24"/>
        <item x="203"/>
        <item x="160"/>
        <item x="136"/>
        <item x="40"/>
        <item x="74"/>
        <item x="6"/>
        <item x="232"/>
        <item x="264"/>
        <item x="4"/>
        <item x="246"/>
        <item x="31"/>
        <item x="237"/>
        <item x="55"/>
        <item x="3"/>
        <item x="115"/>
        <item x="233"/>
        <item x="47"/>
        <item x="72"/>
        <item x="192"/>
        <item x="199"/>
        <item x="91"/>
        <item x="161"/>
        <item x="146"/>
        <item x="142"/>
        <item x="121"/>
        <item x="234"/>
        <item x="207"/>
        <item x="51"/>
        <item x="147"/>
        <item x="95"/>
        <item x="181"/>
        <item x="62"/>
        <item x="269"/>
        <item x="127"/>
        <item x="37"/>
        <item x="100"/>
        <item x="101"/>
        <item x="238"/>
        <item x="12"/>
        <item x="99"/>
        <item x="53"/>
        <item x="204"/>
        <item x="247"/>
        <item x="164"/>
        <item x="69"/>
        <item x="56"/>
        <item x="10"/>
        <item x="186"/>
        <item x="111"/>
        <item x="38"/>
        <item x="144"/>
        <item x="256"/>
        <item x="88"/>
        <item x="94"/>
        <item x="19"/>
        <item x="108"/>
        <item x="231"/>
        <item x="244"/>
        <item x="216"/>
        <item x="224"/>
        <item x="66"/>
        <item x="92"/>
        <item x="194"/>
        <item x="266"/>
        <item x="209"/>
        <item x="129"/>
        <item x="122"/>
        <item x="126"/>
        <item x="221"/>
        <item x="9"/>
        <item x="110"/>
        <item x="104"/>
        <item x="197"/>
        <item x="215"/>
        <item x="140"/>
        <item x="106"/>
        <item x="125"/>
        <item x="18"/>
        <item x="162"/>
        <item x="158"/>
        <item x="227"/>
        <item x="187"/>
        <item x="135"/>
        <item x="270"/>
        <item x="171"/>
        <item x="252"/>
        <item x="17"/>
        <item x="225"/>
        <item x="83"/>
        <item x="87"/>
        <item x="34"/>
        <item x="148"/>
        <item x="7"/>
        <item x="60"/>
        <item x="139"/>
        <item x="249"/>
        <item x="267"/>
        <item x="175"/>
        <item x="165"/>
        <item x="85"/>
        <item x="23"/>
        <item x="211"/>
        <item x="184"/>
        <item x="112"/>
        <item x="36"/>
        <item x="13"/>
        <item x="251"/>
        <item x="228"/>
        <item x="261"/>
        <item x="117"/>
        <item x="141"/>
        <item x="174"/>
        <item x="130"/>
        <item x="260"/>
        <item x="48"/>
        <item x="172"/>
        <item x="79"/>
        <item x="245"/>
        <item x="240"/>
        <item x="230"/>
        <item x="113"/>
        <item x="138"/>
        <item x="176"/>
        <item x="29"/>
        <item x="42"/>
        <item x="198"/>
        <item x="229"/>
        <item x="0"/>
        <item x="212"/>
        <item x="243"/>
        <item x="250"/>
        <item x="268"/>
        <item x="180"/>
        <item x="201"/>
        <item x="67"/>
        <item x="43"/>
        <item x="75"/>
        <item x="217"/>
        <item x="265"/>
        <item x="63"/>
        <item x="263"/>
        <item x="257"/>
        <item x="183"/>
        <item x="255"/>
        <item x="44"/>
        <item x="124"/>
        <item x="248"/>
        <item x="166"/>
        <item x="52"/>
        <item x="77"/>
        <item x="189"/>
        <item x="70"/>
        <item x="253"/>
        <item x="58"/>
        <item x="133"/>
        <item x="213"/>
        <item x="155"/>
        <item x="114"/>
        <item x="159"/>
        <item x="205"/>
        <item x="150"/>
        <item x="210"/>
        <item x="132"/>
        <item x="151"/>
        <item x="73"/>
        <item x="45"/>
        <item x="258"/>
        <item x="89"/>
        <item x="179"/>
        <item x="103"/>
        <item x="35"/>
        <item x="120"/>
        <item x="149"/>
        <item x="262"/>
        <item x="11"/>
        <item x="21"/>
        <item x="202"/>
        <item x="190"/>
        <item x="84"/>
        <item x="76"/>
        <item x="26"/>
        <item x="109"/>
        <item x="33"/>
        <item x="220"/>
        <item x="206"/>
        <item x="185"/>
        <item x="167"/>
        <item x="54"/>
        <item x="222"/>
        <item x="226"/>
        <item x="97"/>
        <item x="102"/>
        <item x="236"/>
        <item x="177"/>
        <item x="64"/>
        <item x="116"/>
        <item x="156"/>
        <item x="49"/>
        <item x="96"/>
        <item x="157"/>
        <item x="14"/>
        <item x="118"/>
        <item x="27"/>
        <item x="153"/>
        <item t="default"/>
      </items>
    </pivotField>
    <pivotField compact="0" showAll="0">
      <items count="247">
        <item x="103"/>
        <item x="73"/>
        <item x="3"/>
        <item x="192"/>
        <item x="9"/>
        <item x="113"/>
        <item x="27"/>
        <item x="105"/>
        <item x="74"/>
        <item x="26"/>
        <item x="81"/>
        <item x="28"/>
        <item x="12"/>
        <item x="118"/>
        <item x="119"/>
        <item x="62"/>
        <item x="30"/>
        <item x="106"/>
        <item x="57"/>
        <item x="36"/>
        <item x="241"/>
        <item x="229"/>
        <item x="99"/>
        <item x="63"/>
        <item x="114"/>
        <item x="16"/>
        <item x="128"/>
        <item x="20"/>
        <item x="70"/>
        <item x="100"/>
        <item x="76"/>
        <item x="183"/>
        <item x="24"/>
        <item x="221"/>
        <item x="151"/>
        <item x="184"/>
        <item x="162"/>
        <item x="104"/>
        <item x="158"/>
        <item x="50"/>
        <item x="96"/>
        <item x="207"/>
        <item x="140"/>
        <item x="39"/>
        <item x="208"/>
        <item x="102"/>
        <item x="193"/>
        <item x="53"/>
        <item x="84"/>
        <item x="202"/>
        <item x="19"/>
        <item x="201"/>
        <item x="69"/>
        <item x="204"/>
        <item x="88"/>
        <item x="238"/>
        <item x="40"/>
        <item x="0"/>
        <item x="31"/>
        <item x="126"/>
        <item x="216"/>
        <item x="77"/>
        <item x="66"/>
        <item x="22"/>
        <item x="172"/>
        <item x="131"/>
        <item x="47"/>
        <item x="177"/>
        <item x="228"/>
        <item x="186"/>
        <item x="123"/>
        <item x="79"/>
        <item x="170"/>
        <item x="94"/>
        <item x="32"/>
        <item x="174"/>
        <item x="210"/>
        <item x="182"/>
        <item x="14"/>
        <item x="167"/>
        <item x="232"/>
        <item x="55"/>
        <item x="133"/>
        <item x="157"/>
        <item x="34"/>
        <item x="144"/>
        <item x="65"/>
        <item x="189"/>
        <item x="56"/>
        <item x="2"/>
        <item x="145"/>
        <item x="92"/>
        <item x="159"/>
        <item x="98"/>
        <item x="8"/>
        <item x="85"/>
        <item x="225"/>
        <item x="244"/>
        <item x="168"/>
        <item x="143"/>
        <item x="196"/>
        <item x="95"/>
        <item x="169"/>
        <item x="166"/>
        <item x="200"/>
        <item x="43"/>
        <item x="129"/>
        <item x="125"/>
        <item x="214"/>
        <item x="239"/>
        <item x="161"/>
        <item x="171"/>
        <item x="148"/>
        <item x="165"/>
        <item x="227"/>
        <item x="78"/>
        <item x="195"/>
        <item x="152"/>
        <item x="230"/>
        <item x="213"/>
        <item x="58"/>
        <item x="187"/>
        <item x="181"/>
        <item x="109"/>
        <item x="191"/>
        <item x="163"/>
        <item x="155"/>
        <item x="18"/>
        <item x="146"/>
        <item x="212"/>
        <item x="38"/>
        <item x="245"/>
        <item x="82"/>
        <item x="236"/>
        <item x="49"/>
        <item x="223"/>
        <item x="178"/>
        <item x="17"/>
        <item x="41"/>
        <item x="240"/>
        <item x="234"/>
        <item x="110"/>
        <item x="46"/>
        <item x="130"/>
        <item x="5"/>
        <item x="23"/>
        <item x="37"/>
        <item x="124"/>
        <item x="44"/>
        <item x="72"/>
        <item x="197"/>
        <item x="121"/>
        <item x="222"/>
        <item x="83"/>
        <item x="15"/>
        <item x="209"/>
        <item x="199"/>
        <item x="80"/>
        <item x="233"/>
        <item x="90"/>
        <item x="188"/>
        <item x="52"/>
        <item x="198"/>
        <item x="138"/>
        <item x="7"/>
        <item x="136"/>
        <item x="111"/>
        <item x="132"/>
        <item x="190"/>
        <item x="164"/>
        <item x="97"/>
        <item x="135"/>
        <item x="153"/>
        <item x="1"/>
        <item x="217"/>
        <item x="180"/>
        <item x="42"/>
        <item x="13"/>
        <item x="211"/>
        <item x="29"/>
        <item x="93"/>
        <item x="206"/>
        <item x="61"/>
        <item x="224"/>
        <item x="205"/>
        <item x="91"/>
        <item x="33"/>
        <item x="75"/>
        <item x="89"/>
        <item x="235"/>
        <item x="134"/>
        <item x="242"/>
        <item x="60"/>
        <item x="156"/>
        <item x="160"/>
        <item x="71"/>
        <item x="237"/>
        <item x="220"/>
        <item x="116"/>
        <item x="108"/>
        <item x="142"/>
        <item x="175"/>
        <item x="215"/>
        <item x="154"/>
        <item x="147"/>
        <item x="139"/>
        <item x="35"/>
        <item x="194"/>
        <item x="117"/>
        <item x="64"/>
        <item x="87"/>
        <item x="48"/>
        <item x="67"/>
        <item x="173"/>
        <item x="21"/>
        <item x="51"/>
        <item x="112"/>
        <item x="59"/>
        <item x="185"/>
        <item x="54"/>
        <item x="137"/>
        <item x="120"/>
        <item x="122"/>
        <item x="243"/>
        <item x="231"/>
        <item x="86"/>
        <item x="101"/>
        <item x="226"/>
        <item x="115"/>
        <item x="25"/>
        <item x="149"/>
        <item x="68"/>
        <item x="203"/>
        <item x="179"/>
        <item x="4"/>
        <item x="11"/>
        <item x="150"/>
        <item x="10"/>
        <item x="176"/>
        <item x="6"/>
        <item x="127"/>
        <item x="218"/>
        <item x="219"/>
        <item x="141"/>
        <item x="45"/>
        <item x="107"/>
        <item t="default"/>
      </items>
    </pivotField>
    <pivotField dataField="1" compact="0" showAll="0">
      <items count="282">
        <item x="166"/>
        <item x="121"/>
        <item x="254"/>
        <item x="6"/>
        <item x="272"/>
        <item x="98"/>
        <item x="32"/>
        <item x="262"/>
        <item x="197"/>
        <item x="251"/>
        <item x="159"/>
        <item x="185"/>
        <item x="155"/>
        <item x="134"/>
        <item x="204"/>
        <item x="156"/>
        <item x="88"/>
        <item x="190"/>
        <item x="65"/>
        <item x="129"/>
        <item x="182"/>
        <item x="118"/>
        <item x="169"/>
        <item x="133"/>
        <item x="196"/>
        <item x="19"/>
        <item x="0"/>
        <item x="47"/>
        <item x="106"/>
        <item x="102"/>
        <item x="149"/>
        <item x="230"/>
        <item x="193"/>
        <item x="223"/>
        <item x="92"/>
        <item x="66"/>
        <item x="40"/>
        <item x="70"/>
        <item x="217"/>
        <item x="200"/>
        <item x="83"/>
        <item x="126"/>
        <item x="56"/>
        <item x="153"/>
        <item x="97"/>
        <item x="38"/>
        <item x="42"/>
        <item x="131"/>
        <item x="5"/>
        <item x="16"/>
        <item x="124"/>
        <item x="82"/>
        <item x="229"/>
        <item x="210"/>
        <item x="216"/>
        <item x="103"/>
        <item x="141"/>
        <item x="60"/>
        <item x="246"/>
        <item x="25"/>
        <item x="201"/>
        <item x="30"/>
        <item x="50"/>
        <item x="228"/>
        <item x="175"/>
        <item x="269"/>
        <item x="191"/>
        <item x="76"/>
        <item x="146"/>
        <item x="104"/>
        <item x="36"/>
        <item x="112"/>
        <item x="1"/>
        <item x="219"/>
        <item x="109"/>
        <item x="39"/>
        <item x="2"/>
        <item x="172"/>
        <item x="140"/>
        <item x="186"/>
        <item x="14"/>
        <item x="265"/>
        <item x="113"/>
        <item x="99"/>
        <item x="278"/>
        <item x="183"/>
        <item x="240"/>
        <item x="242"/>
        <item x="10"/>
        <item x="123"/>
        <item x="59"/>
        <item x="252"/>
        <item x="122"/>
        <item x="7"/>
        <item x="154"/>
        <item x="125"/>
        <item x="127"/>
        <item x="91"/>
        <item x="271"/>
        <item x="52"/>
        <item x="9"/>
        <item x="245"/>
        <item x="171"/>
        <item x="276"/>
        <item x="79"/>
        <item x="86"/>
        <item x="222"/>
        <item x="120"/>
        <item x="279"/>
        <item x="256"/>
        <item x="232"/>
        <item x="20"/>
        <item x="27"/>
        <item x="35"/>
        <item x="206"/>
        <item x="207"/>
        <item x="273"/>
        <item x="12"/>
        <item x="227"/>
        <item x="58"/>
        <item x="101"/>
        <item x="234"/>
        <item x="199"/>
        <item x="259"/>
        <item x="130"/>
        <item x="173"/>
        <item x="181"/>
        <item x="43"/>
        <item x="261"/>
        <item x="67"/>
        <item x="74"/>
        <item x="18"/>
        <item x="93"/>
        <item x="23"/>
        <item x="28"/>
        <item x="277"/>
        <item x="29"/>
        <item x="213"/>
        <item x="15"/>
        <item x="115"/>
        <item x="72"/>
        <item x="179"/>
        <item x="128"/>
        <item x="139"/>
        <item x="238"/>
        <item x="137"/>
        <item x="116"/>
        <item x="152"/>
        <item x="174"/>
        <item x="135"/>
        <item x="194"/>
        <item x="198"/>
        <item x="34"/>
        <item x="90"/>
        <item x="202"/>
        <item x="81"/>
        <item x="192"/>
        <item x="248"/>
        <item x="184"/>
        <item x="26"/>
        <item x="142"/>
        <item x="266"/>
        <item x="247"/>
        <item x="48"/>
        <item x="45"/>
        <item x="218"/>
        <item x="117"/>
        <item x="255"/>
        <item x="189"/>
        <item x="54"/>
        <item x="180"/>
        <item x="187"/>
        <item x="235"/>
        <item x="63"/>
        <item x="231"/>
        <item x="250"/>
        <item x="44"/>
        <item x="176"/>
        <item x="208"/>
        <item x="71"/>
        <item x="157"/>
        <item x="257"/>
        <item x="21"/>
        <item x="77"/>
        <item x="138"/>
        <item x="68"/>
        <item x="100"/>
        <item x="89"/>
        <item x="211"/>
        <item x="164"/>
        <item x="148"/>
        <item x="239"/>
        <item x="258"/>
        <item x="243"/>
        <item x="212"/>
        <item x="136"/>
        <item x="17"/>
        <item x="178"/>
        <item x="151"/>
        <item x="145"/>
        <item x="111"/>
        <item x="163"/>
        <item x="170"/>
        <item x="221"/>
        <item x="249"/>
        <item x="87"/>
        <item x="244"/>
        <item x="94"/>
        <item x="46"/>
        <item x="147"/>
        <item x="105"/>
        <item x="150"/>
        <item x="158"/>
        <item x="264"/>
        <item x="267"/>
        <item x="49"/>
        <item x="195"/>
        <item x="226"/>
        <item x="167"/>
        <item x="62"/>
        <item x="144"/>
        <item x="188"/>
        <item x="41"/>
        <item x="84"/>
        <item x="22"/>
        <item x="168"/>
        <item x="270"/>
        <item x="53"/>
        <item x="119"/>
        <item x="96"/>
        <item x="95"/>
        <item x="209"/>
        <item x="161"/>
        <item x="114"/>
        <item x="61"/>
        <item x="78"/>
        <item x="260"/>
        <item x="13"/>
        <item x="160"/>
        <item x="225"/>
        <item x="215"/>
        <item x="236"/>
        <item x="4"/>
        <item x="143"/>
        <item x="241"/>
        <item x="165"/>
        <item x="108"/>
        <item x="253"/>
        <item x="3"/>
        <item x="110"/>
        <item x="280"/>
        <item x="24"/>
        <item x="107"/>
        <item x="220"/>
        <item x="85"/>
        <item x="51"/>
        <item x="55"/>
        <item x="37"/>
        <item x="275"/>
        <item x="132"/>
        <item x="203"/>
        <item x="224"/>
        <item x="263"/>
        <item x="8"/>
        <item x="31"/>
        <item x="75"/>
        <item x="64"/>
        <item x="233"/>
        <item x="214"/>
        <item x="268"/>
        <item x="274"/>
        <item x="33"/>
        <item x="237"/>
        <item x="205"/>
        <item x="11"/>
        <item x="80"/>
        <item x="57"/>
        <item x="69"/>
        <item x="73"/>
        <item x="177"/>
        <item x="162"/>
        <item t="default"/>
      </items>
    </pivotField>
    <pivotField compact="0" showAll="0">
      <items count="299">
        <item x="40"/>
        <item x="164"/>
        <item x="249"/>
        <item x="45"/>
        <item x="116"/>
        <item x="212"/>
        <item x="215"/>
        <item x="151"/>
        <item x="36"/>
        <item x="74"/>
        <item x="175"/>
        <item x="122"/>
        <item x="31"/>
        <item x="50"/>
        <item x="160"/>
        <item x="171"/>
        <item x="291"/>
        <item x="255"/>
        <item x="134"/>
        <item x="273"/>
        <item x="206"/>
        <item x="157"/>
        <item x="270"/>
        <item x="12"/>
        <item x="294"/>
        <item x="29"/>
        <item x="136"/>
        <item x="166"/>
        <item x="239"/>
        <item x="99"/>
        <item x="91"/>
        <item x="238"/>
        <item x="63"/>
        <item x="208"/>
        <item x="274"/>
        <item x="158"/>
        <item x="6"/>
        <item x="24"/>
        <item x="58"/>
        <item x="103"/>
        <item x="190"/>
        <item x="276"/>
        <item x="118"/>
        <item x="94"/>
        <item x="17"/>
        <item x="51"/>
        <item x="80"/>
        <item x="182"/>
        <item x="115"/>
        <item x="62"/>
        <item x="193"/>
        <item x="42"/>
        <item x="225"/>
        <item x="147"/>
        <item x="85"/>
        <item x="233"/>
        <item x="117"/>
        <item x="61"/>
        <item x="88"/>
        <item x="174"/>
        <item x="73"/>
        <item x="13"/>
        <item x="196"/>
        <item x="18"/>
        <item x="180"/>
        <item x="48"/>
        <item x="133"/>
        <item x="185"/>
        <item x="167"/>
        <item x="256"/>
        <item x="11"/>
        <item x="25"/>
        <item x="34"/>
        <item x="217"/>
        <item x="82"/>
        <item x="199"/>
        <item x="72"/>
        <item x="142"/>
        <item x="129"/>
        <item x="27"/>
        <item x="265"/>
        <item x="104"/>
        <item x="283"/>
        <item x="5"/>
        <item x="246"/>
        <item x="252"/>
        <item x="219"/>
        <item x="49"/>
        <item x="96"/>
        <item x="251"/>
        <item x="65"/>
        <item x="231"/>
        <item x="23"/>
        <item x="192"/>
        <item x="19"/>
        <item x="3"/>
        <item x="92"/>
        <item x="37"/>
        <item x="278"/>
        <item x="144"/>
        <item x="152"/>
        <item x="102"/>
        <item x="108"/>
        <item x="57"/>
        <item x="261"/>
        <item x="26"/>
        <item x="127"/>
        <item x="264"/>
        <item x="53"/>
        <item x="257"/>
        <item x="123"/>
        <item x="271"/>
        <item x="228"/>
        <item x="130"/>
        <item x="111"/>
        <item x="234"/>
        <item x="226"/>
        <item x="78"/>
        <item x="138"/>
        <item x="237"/>
        <item x="275"/>
        <item x="43"/>
        <item x="68"/>
        <item x="149"/>
        <item x="296"/>
        <item x="165"/>
        <item x="8"/>
        <item x="244"/>
        <item x="286"/>
        <item x="1"/>
        <item x="15"/>
        <item x="33"/>
        <item x="287"/>
        <item x="279"/>
        <item x="162"/>
        <item x="245"/>
        <item x="202"/>
        <item x="266"/>
        <item x="55"/>
        <item x="67"/>
        <item x="140"/>
        <item x="84"/>
        <item x="83"/>
        <item x="240"/>
        <item x="47"/>
        <item x="71"/>
        <item x="141"/>
        <item x="184"/>
        <item x="169"/>
        <item x="44"/>
        <item x="216"/>
        <item x="30"/>
        <item x="163"/>
        <item x="205"/>
        <item x="154"/>
        <item x="292"/>
        <item x="254"/>
        <item x="110"/>
        <item x="243"/>
        <item x="70"/>
        <item x="179"/>
        <item x="222"/>
        <item x="253"/>
        <item x="269"/>
        <item x="16"/>
        <item x="148"/>
        <item x="60"/>
        <item x="189"/>
        <item x="135"/>
        <item x="241"/>
        <item x="87"/>
        <item x="93"/>
        <item x="210"/>
        <item x="56"/>
        <item x="260"/>
        <item x="126"/>
        <item x="247"/>
        <item x="52"/>
        <item x="150"/>
        <item x="263"/>
        <item x="7"/>
        <item x="64"/>
        <item x="173"/>
        <item x="285"/>
        <item x="250"/>
        <item x="198"/>
        <item x="227"/>
        <item x="107"/>
        <item x="106"/>
        <item x="22"/>
        <item x="20"/>
        <item x="281"/>
        <item x="293"/>
        <item x="125"/>
        <item x="284"/>
        <item x="201"/>
        <item x="137"/>
        <item x="121"/>
        <item x="280"/>
        <item x="155"/>
        <item x="38"/>
        <item x="223"/>
        <item x="21"/>
        <item x="213"/>
        <item x="262"/>
        <item x="41"/>
        <item x="236"/>
        <item x="89"/>
        <item x="282"/>
        <item x="177"/>
        <item x="178"/>
        <item x="46"/>
        <item x="268"/>
        <item x="181"/>
        <item x="172"/>
        <item x="229"/>
        <item x="235"/>
        <item x="209"/>
        <item x="124"/>
        <item x="101"/>
        <item x="204"/>
        <item x="114"/>
        <item x="139"/>
        <item x="59"/>
        <item x="230"/>
        <item x="153"/>
        <item x="207"/>
        <item x="218"/>
        <item x="288"/>
        <item x="77"/>
        <item x="128"/>
        <item x="195"/>
        <item x="105"/>
        <item x="221"/>
        <item x="272"/>
        <item x="76"/>
        <item x="203"/>
        <item x="232"/>
        <item x="259"/>
        <item x="197"/>
        <item x="97"/>
        <item x="10"/>
        <item x="224"/>
        <item x="4"/>
        <item x="14"/>
        <item x="81"/>
        <item x="132"/>
        <item x="112"/>
        <item x="109"/>
        <item x="200"/>
        <item x="66"/>
        <item x="161"/>
        <item x="120"/>
        <item x="194"/>
        <item x="2"/>
        <item x="32"/>
        <item x="75"/>
        <item x="211"/>
        <item x="98"/>
        <item x="95"/>
        <item x="267"/>
        <item x="113"/>
        <item x="143"/>
        <item x="0"/>
        <item x="69"/>
        <item x="277"/>
        <item x="220"/>
        <item x="131"/>
        <item x="9"/>
        <item x="290"/>
        <item x="86"/>
        <item x="186"/>
        <item x="54"/>
        <item x="146"/>
        <item x="183"/>
        <item x="297"/>
        <item x="156"/>
        <item x="119"/>
        <item x="176"/>
        <item x="145"/>
        <item x="295"/>
        <item x="258"/>
        <item x="214"/>
        <item x="187"/>
        <item x="188"/>
        <item x="28"/>
        <item x="170"/>
        <item x="35"/>
        <item x="191"/>
        <item x="90"/>
        <item x="242"/>
        <item x="79"/>
        <item x="159"/>
        <item x="39"/>
        <item x="289"/>
        <item x="168"/>
        <item x="248"/>
        <item x="100"/>
        <item t="default"/>
      </items>
    </pivotField>
    <pivotField dataField="1" compact="0" showAll="0">
      <items count="301">
        <item x="2"/>
        <item x="156"/>
        <item x="262"/>
        <item x="91"/>
        <item x="192"/>
        <item x="185"/>
        <item x="202"/>
        <item x="216"/>
        <item x="160"/>
        <item x="274"/>
        <item x="117"/>
        <item x="222"/>
        <item x="272"/>
        <item x="18"/>
        <item x="258"/>
        <item x="270"/>
        <item x="81"/>
        <item x="103"/>
        <item x="253"/>
        <item x="20"/>
        <item x="194"/>
        <item x="265"/>
        <item x="90"/>
        <item x="227"/>
        <item x="34"/>
        <item x="154"/>
        <item x="152"/>
        <item x="161"/>
        <item x="268"/>
        <item x="241"/>
        <item x="138"/>
        <item x="164"/>
        <item x="32"/>
        <item x="17"/>
        <item x="73"/>
        <item x="43"/>
        <item x="183"/>
        <item x="242"/>
        <item x="204"/>
        <item x="276"/>
        <item x="158"/>
        <item x="188"/>
        <item x="266"/>
        <item x="153"/>
        <item x="74"/>
        <item x="41"/>
        <item x="291"/>
        <item x="8"/>
        <item x="62"/>
        <item x="178"/>
        <item x="25"/>
        <item x="220"/>
        <item x="200"/>
        <item x="240"/>
        <item x="127"/>
        <item x="269"/>
        <item x="131"/>
        <item x="243"/>
        <item x="54"/>
        <item x="261"/>
        <item x="42"/>
        <item x="282"/>
        <item x="125"/>
        <item x="58"/>
        <item x="120"/>
        <item x="146"/>
        <item x="228"/>
        <item x="249"/>
        <item x="89"/>
        <item x="237"/>
        <item x="186"/>
        <item x="150"/>
        <item x="234"/>
        <item x="24"/>
        <item x="130"/>
        <item x="277"/>
        <item x="176"/>
        <item x="116"/>
        <item x="134"/>
        <item x="79"/>
        <item x="280"/>
        <item x="55"/>
        <item x="48"/>
        <item x="169"/>
        <item x="92"/>
        <item x="136"/>
        <item x="292"/>
        <item x="72"/>
        <item x="52"/>
        <item x="203"/>
        <item x="53"/>
        <item x="273"/>
        <item x="75"/>
        <item x="27"/>
        <item x="93"/>
        <item x="198"/>
        <item x="145"/>
        <item x="296"/>
        <item x="39"/>
        <item x="36"/>
        <item x="163"/>
        <item x="140"/>
        <item x="229"/>
        <item x="271"/>
        <item x="30"/>
        <item x="16"/>
        <item x="170"/>
        <item x="6"/>
        <item x="151"/>
        <item x="40"/>
        <item x="14"/>
        <item x="187"/>
        <item x="98"/>
        <item x="49"/>
        <item x="232"/>
        <item x="133"/>
        <item x="245"/>
        <item x="88"/>
        <item x="184"/>
        <item x="281"/>
        <item x="3"/>
        <item x="189"/>
        <item x="19"/>
        <item x="173"/>
        <item x="115"/>
        <item x="66"/>
        <item x="172"/>
        <item x="197"/>
        <item x="64"/>
        <item x="196"/>
        <item x="80"/>
        <item x="181"/>
        <item x="231"/>
        <item x="60"/>
        <item x="57"/>
        <item x="218"/>
        <item x="193"/>
        <item x="175"/>
        <item x="267"/>
        <item x="255"/>
        <item x="162"/>
        <item x="26"/>
        <item x="82"/>
        <item x="104"/>
        <item x="28"/>
        <item x="168"/>
        <item x="223"/>
        <item x="126"/>
        <item x="238"/>
        <item x="250"/>
        <item x="213"/>
        <item x="35"/>
        <item x="97"/>
        <item x="205"/>
        <item x="107"/>
        <item x="190"/>
        <item x="15"/>
        <item x="45"/>
        <item x="209"/>
        <item x="289"/>
        <item x="85"/>
        <item x="83"/>
        <item x="278"/>
        <item x="37"/>
        <item x="46"/>
        <item x="259"/>
        <item x="108"/>
        <item x="257"/>
        <item x="251"/>
        <item x="10"/>
        <item x="246"/>
        <item x="56"/>
        <item x="70"/>
        <item x="199"/>
        <item x="283"/>
        <item x="182"/>
        <item x="221"/>
        <item x="263"/>
        <item x="129"/>
        <item x="11"/>
        <item x="297"/>
        <item x="285"/>
        <item x="191"/>
        <item x="260"/>
        <item x="69"/>
        <item x="155"/>
        <item x="119"/>
        <item x="31"/>
        <item x="86"/>
        <item x="275"/>
        <item x="128"/>
        <item x="174"/>
        <item x="180"/>
        <item x="293"/>
        <item x="149"/>
        <item x="110"/>
        <item x="147"/>
        <item x="287"/>
        <item x="47"/>
        <item x="111"/>
        <item x="51"/>
        <item x="279"/>
        <item x="247"/>
        <item x="217"/>
        <item x="12"/>
        <item x="7"/>
        <item x="78"/>
        <item x="50"/>
        <item x="77"/>
        <item x="171"/>
        <item x="100"/>
        <item x="256"/>
        <item x="132"/>
        <item x="29"/>
        <item x="84"/>
        <item x="195"/>
        <item x="290"/>
        <item x="206"/>
        <item x="143"/>
        <item x="144"/>
        <item x="224"/>
        <item x="141"/>
        <item x="211"/>
        <item x="1"/>
        <item x="165"/>
        <item x="148"/>
        <item x="295"/>
        <item x="94"/>
        <item x="294"/>
        <item x="233"/>
        <item x="109"/>
        <item x="177"/>
        <item x="299"/>
        <item x="230"/>
        <item x="137"/>
        <item x="286"/>
        <item x="68"/>
        <item x="159"/>
        <item x="114"/>
        <item x="235"/>
        <item x="252"/>
        <item x="123"/>
        <item x="0"/>
        <item x="207"/>
        <item x="288"/>
        <item x="33"/>
        <item x="226"/>
        <item x="113"/>
        <item x="236"/>
        <item x="101"/>
        <item x="96"/>
        <item x="71"/>
        <item x="102"/>
        <item x="254"/>
        <item x="298"/>
        <item x="122"/>
        <item x="61"/>
        <item x="248"/>
        <item x="4"/>
        <item x="210"/>
        <item x="95"/>
        <item x="76"/>
        <item x="9"/>
        <item x="118"/>
        <item x="67"/>
        <item x="23"/>
        <item x="44"/>
        <item x="106"/>
        <item x="244"/>
        <item x="139"/>
        <item x="142"/>
        <item x="166"/>
        <item x="215"/>
        <item x="105"/>
        <item x="157"/>
        <item x="201"/>
        <item x="284"/>
        <item x="239"/>
        <item x="208"/>
        <item x="99"/>
        <item x="5"/>
        <item x="13"/>
        <item x="59"/>
        <item x="219"/>
        <item x="135"/>
        <item x="63"/>
        <item x="38"/>
        <item x="22"/>
        <item x="112"/>
        <item x="212"/>
        <item x="214"/>
        <item x="87"/>
        <item x="21"/>
        <item x="167"/>
        <item x="65"/>
        <item x="179"/>
        <item x="264"/>
        <item x="121"/>
        <item x="124"/>
        <item x="225"/>
        <item t="default"/>
      </items>
    </pivotField>
    <pivotField axis="axisRow" compact="0" showAll="0">
      <items count="6">
        <item x="4"/>
        <item x="1"/>
        <item x="0"/>
        <item x="3"/>
        <item x="2"/>
        <item t="default"/>
      </items>
    </pivotField>
    <pivotField compact="0" numFmtId="165" showAll="0">
      <items count="301">
        <item x="224"/>
        <item x="65"/>
        <item x="201"/>
        <item x="23"/>
        <item x="63"/>
        <item x="147"/>
        <item x="137"/>
        <item x="195"/>
        <item x="217"/>
        <item x="135"/>
        <item x="106"/>
        <item x="85"/>
        <item x="286"/>
        <item x="208"/>
        <item x="212"/>
        <item x="98"/>
        <item x="97"/>
        <item x="61"/>
        <item x="252"/>
        <item x="104"/>
        <item x="254"/>
        <item x="22"/>
        <item x="207"/>
        <item x="125"/>
        <item x="180"/>
        <item x="105"/>
        <item x="179"/>
        <item x="251"/>
        <item x="31"/>
        <item x="67"/>
        <item x="260"/>
        <item x="9"/>
        <item x="79"/>
        <item x="95"/>
        <item x="248"/>
        <item x="45"/>
        <item x="232"/>
        <item x="264"/>
        <item x="37"/>
        <item x="219"/>
        <item x="166"/>
        <item x="119"/>
        <item x="186"/>
        <item x="165"/>
        <item x="74"/>
        <item x="10"/>
        <item x="111"/>
        <item x="276"/>
        <item x="76"/>
        <item x="5"/>
        <item x="191"/>
        <item x="283"/>
        <item x="84"/>
        <item x="275"/>
        <item x="33"/>
        <item x="295"/>
        <item x="187"/>
        <item x="55"/>
        <item x="13"/>
        <item x="3"/>
        <item x="99"/>
        <item x="261"/>
        <item x="73"/>
        <item x="90"/>
        <item x="243"/>
        <item x="56"/>
        <item x="19"/>
        <item x="222"/>
        <item x="109"/>
        <item x="236"/>
        <item x="15"/>
        <item x="82"/>
        <item x="244"/>
        <item x="175"/>
        <item x="238"/>
        <item x="167"/>
        <item x="49"/>
        <item x="162"/>
        <item x="0"/>
        <item x="285"/>
        <item x="141"/>
        <item x="100"/>
        <item x="229"/>
        <item x="68"/>
        <item x="59"/>
        <item x="78"/>
        <item x="86"/>
        <item x="124"/>
        <item x="281"/>
        <item x="196"/>
        <item x="213"/>
        <item x="11"/>
        <item x="155"/>
        <item x="210"/>
        <item x="177"/>
        <item x="129"/>
        <item x="221"/>
        <item x="144"/>
        <item x="150"/>
        <item x="174"/>
        <item x="284"/>
        <item x="280"/>
        <item x="102"/>
        <item x="287"/>
        <item x="101"/>
        <item x="296"/>
        <item x="271"/>
        <item x="44"/>
        <item x="113"/>
        <item x="157"/>
        <item x="197"/>
        <item x="218"/>
        <item x="173"/>
        <item x="215"/>
        <item x="214"/>
        <item x="279"/>
        <item x="170"/>
        <item x="21"/>
        <item x="126"/>
        <item x="172"/>
        <item x="132"/>
        <item x="122"/>
        <item x="48"/>
        <item x="38"/>
        <item x="71"/>
        <item x="88"/>
        <item x="257"/>
        <item x="80"/>
        <item x="46"/>
        <item x="14"/>
        <item x="188"/>
        <item x="211"/>
        <item x="114"/>
        <item x="47"/>
        <item x="145"/>
        <item x="121"/>
        <item x="70"/>
        <item x="117"/>
        <item x="178"/>
        <item x="282"/>
        <item x="128"/>
        <item x="278"/>
        <item x="294"/>
        <item x="298"/>
        <item x="226"/>
        <item x="133"/>
        <item x="273"/>
        <item x="225"/>
        <item x="146"/>
        <item x="87"/>
        <item x="139"/>
        <item x="142"/>
        <item x="81"/>
        <item x="190"/>
        <item x="107"/>
        <item x="171"/>
        <item x="209"/>
        <item x="112"/>
        <item x="118"/>
        <item x="189"/>
        <item x="51"/>
        <item x="206"/>
        <item x="72"/>
        <item x="239"/>
        <item x="123"/>
        <item x="96"/>
        <item x="148"/>
        <item x="94"/>
        <item x="247"/>
        <item x="77"/>
        <item x="199"/>
        <item x="159"/>
        <item x="7"/>
        <item x="30"/>
        <item x="193"/>
        <item x="233"/>
        <item x="267"/>
        <item x="110"/>
        <item x="230"/>
        <item x="1"/>
        <item x="250"/>
        <item x="4"/>
        <item x="131"/>
        <item x="182"/>
        <item x="39"/>
        <item x="290"/>
        <item x="149"/>
        <item x="156"/>
        <item x="36"/>
        <item x="168"/>
        <item x="288"/>
        <item x="235"/>
        <item x="249"/>
        <item x="69"/>
        <item x="263"/>
        <item x="108"/>
        <item x="143"/>
        <item x="181"/>
        <item x="259"/>
        <item x="194"/>
        <item x="256"/>
        <item x="50"/>
        <item x="16"/>
        <item x="299"/>
        <item x="83"/>
        <item x="297"/>
        <item x="32"/>
        <item x="115"/>
        <item x="29"/>
        <item x="246"/>
        <item x="42"/>
        <item x="223"/>
        <item x="66"/>
        <item x="12"/>
        <item x="205"/>
        <item x="183"/>
        <item x="35"/>
        <item x="160"/>
        <item x="151"/>
        <item x="237"/>
        <item x="140"/>
        <item x="293"/>
        <item x="134"/>
        <item x="289"/>
        <item x="116"/>
        <item x="24"/>
        <item x="64"/>
        <item x="262"/>
        <item x="53"/>
        <item x="200"/>
        <item x="26"/>
        <item x="40"/>
        <item x="93"/>
        <item x="163"/>
        <item x="28"/>
        <item x="184"/>
        <item x="234"/>
        <item x="231"/>
        <item x="103"/>
        <item x="60"/>
        <item x="8"/>
        <item x="270"/>
        <item x="154"/>
        <item x="255"/>
        <item x="245"/>
        <item x="153"/>
        <item x="240"/>
        <item x="57"/>
        <item x="2"/>
        <item x="266"/>
        <item x="269"/>
        <item x="34"/>
        <item x="75"/>
        <item x="228"/>
        <item x="6"/>
        <item x="120"/>
        <item x="136"/>
        <item x="62"/>
        <item x="27"/>
        <item x="130"/>
        <item x="198"/>
        <item x="202"/>
        <item x="58"/>
        <item x="220"/>
        <item x="277"/>
        <item x="292"/>
        <item x="92"/>
        <item x="41"/>
        <item x="203"/>
        <item x="89"/>
        <item x="43"/>
        <item x="52"/>
        <item x="169"/>
        <item x="25"/>
        <item x="138"/>
        <item x="176"/>
        <item x="164"/>
        <item x="242"/>
        <item x="20"/>
        <item x="54"/>
        <item x="258"/>
        <item x="192"/>
        <item x="17"/>
        <item x="253"/>
        <item x="241"/>
        <item x="227"/>
        <item x="161"/>
        <item x="127"/>
        <item x="216"/>
        <item x="291"/>
        <item x="204"/>
        <item x="152"/>
        <item x="158"/>
        <item x="91"/>
        <item x="272"/>
        <item x="265"/>
        <item x="268"/>
        <item x="274"/>
        <item x="185"/>
        <item x="18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icks" fld="9" baseField="0" baseItem="0"/>
    <dataField name="Sum of Impressions" fld="11" baseField="0" baseItem="0"/>
    <dataField name="Sum of Likes" fld="6" baseField="0" baseItem="0"/>
    <dataField name="Average of Clicks" fld="9" subtotal="average" baseField="0" baseItem="0"/>
    <dataField name="Average of Likes" fld="6" subtotal="average" baseField="0" baseItem="0"/>
    <dataField name="Average of Impressions" fld="11" subtotal="average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missingCaption="0" updatedVersion="5" minRefreshableVersion="3" useAutoFormatting="1" createdVersion="5" indent="0" compact="0" outline="1" outlineData="1" compactData="0" multipleFieldFilters="0">
  <location ref="J55:O107" firstHeaderRow="1" firstDataRow="2" firstDataCol="1"/>
  <pivotFields count="7">
    <pivotField axis="axisRow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compact="0" showAll="0">
      <items count="5">
        <item x="0"/>
        <item x="3"/>
        <item x="1"/>
        <item x="2"/>
        <item t="default"/>
      </items>
    </pivotField>
    <pivotField dataField="1" compact="0" showAll="0">
      <items count="198">
        <item x="111"/>
        <item x="190"/>
        <item x="130"/>
        <item x="144"/>
        <item x="92"/>
        <item x="195"/>
        <item x="146"/>
        <item x="113"/>
        <item x="64"/>
        <item x="177"/>
        <item x="27"/>
        <item x="116"/>
        <item x="104"/>
        <item x="91"/>
        <item x="186"/>
        <item x="48"/>
        <item x="70"/>
        <item x="172"/>
        <item x="126"/>
        <item x="173"/>
        <item x="32"/>
        <item x="26"/>
        <item x="21"/>
        <item x="53"/>
        <item x="156"/>
        <item x="192"/>
        <item x="61"/>
        <item x="62"/>
        <item x="72"/>
        <item x="58"/>
        <item x="143"/>
        <item x="161"/>
        <item x="38"/>
        <item x="19"/>
        <item x="71"/>
        <item x="187"/>
        <item x="167"/>
        <item x="128"/>
        <item x="122"/>
        <item x="78"/>
        <item x="98"/>
        <item x="159"/>
        <item x="89"/>
        <item x="185"/>
        <item x="36"/>
        <item x="23"/>
        <item x="18"/>
        <item x="109"/>
        <item x="142"/>
        <item x="37"/>
        <item x="24"/>
        <item x="7"/>
        <item x="160"/>
        <item x="34"/>
        <item x="0"/>
        <item x="112"/>
        <item x="137"/>
        <item x="63"/>
        <item x="66"/>
        <item x="138"/>
        <item x="107"/>
        <item x="117"/>
        <item x="74"/>
        <item x="168"/>
        <item x="157"/>
        <item x="47"/>
        <item x="120"/>
        <item x="133"/>
        <item x="175"/>
        <item x="110"/>
        <item x="6"/>
        <item x="13"/>
        <item x="90"/>
        <item x="164"/>
        <item x="39"/>
        <item x="75"/>
        <item x="65"/>
        <item x="147"/>
        <item x="180"/>
        <item x="94"/>
        <item x="103"/>
        <item x="45"/>
        <item x="95"/>
        <item x="96"/>
        <item x="79"/>
        <item x="105"/>
        <item x="191"/>
        <item x="16"/>
        <item x="136"/>
        <item x="182"/>
        <item x="51"/>
        <item x="49"/>
        <item x="40"/>
        <item x="148"/>
        <item x="189"/>
        <item x="153"/>
        <item x="52"/>
        <item x="149"/>
        <item x="85"/>
        <item x="171"/>
        <item x="11"/>
        <item x="59"/>
        <item x="69"/>
        <item x="22"/>
        <item x="33"/>
        <item x="179"/>
        <item x="101"/>
        <item x="99"/>
        <item x="15"/>
        <item x="9"/>
        <item x="181"/>
        <item x="35"/>
        <item x="170"/>
        <item x="84"/>
        <item x="97"/>
        <item x="10"/>
        <item x="73"/>
        <item x="108"/>
        <item x="118"/>
        <item x="135"/>
        <item x="183"/>
        <item x="115"/>
        <item x="174"/>
        <item x="86"/>
        <item x="54"/>
        <item x="145"/>
        <item x="42"/>
        <item x="44"/>
        <item x="152"/>
        <item x="154"/>
        <item x="46"/>
        <item x="77"/>
        <item x="41"/>
        <item x="4"/>
        <item x="81"/>
        <item x="127"/>
        <item x="56"/>
        <item x="165"/>
        <item x="60"/>
        <item x="162"/>
        <item x="5"/>
        <item x="188"/>
        <item x="20"/>
        <item x="134"/>
        <item x="129"/>
        <item x="132"/>
        <item x="184"/>
        <item x="25"/>
        <item x="43"/>
        <item x="194"/>
        <item x="119"/>
        <item x="29"/>
        <item x="28"/>
        <item x="8"/>
        <item x="88"/>
        <item x="106"/>
        <item x="124"/>
        <item x="155"/>
        <item x="196"/>
        <item x="178"/>
        <item x="82"/>
        <item x="141"/>
        <item x="1"/>
        <item x="193"/>
        <item x="80"/>
        <item x="139"/>
        <item x="3"/>
        <item x="67"/>
        <item x="68"/>
        <item x="76"/>
        <item x="100"/>
        <item x="30"/>
        <item x="83"/>
        <item x="131"/>
        <item x="121"/>
        <item x="2"/>
        <item x="14"/>
        <item x="17"/>
        <item x="87"/>
        <item x="158"/>
        <item x="166"/>
        <item x="163"/>
        <item x="55"/>
        <item x="140"/>
        <item x="114"/>
        <item x="50"/>
        <item x="93"/>
        <item x="176"/>
        <item x="31"/>
        <item x="102"/>
        <item x="150"/>
        <item x="57"/>
        <item x="169"/>
        <item x="125"/>
        <item x="151"/>
        <item x="123"/>
        <item x="12"/>
        <item t="default"/>
      </items>
    </pivotField>
    <pivotField compact="0" showAll="0">
      <items count="184">
        <item x="104"/>
        <item x="137"/>
        <item x="123"/>
        <item x="164"/>
        <item x="32"/>
        <item x="64"/>
        <item x="161"/>
        <item x="135"/>
        <item x="72"/>
        <item x="21"/>
        <item x="26"/>
        <item x="58"/>
        <item x="175"/>
        <item x="90"/>
        <item x="27"/>
        <item x="147"/>
        <item x="173"/>
        <item x="48"/>
        <item x="181"/>
        <item x="106"/>
        <item x="61"/>
        <item x="177"/>
        <item x="116"/>
        <item x="89"/>
        <item x="109"/>
        <item x="102"/>
        <item x="71"/>
        <item x="37"/>
        <item x="70"/>
        <item x="19"/>
        <item x="120"/>
        <item x="66"/>
        <item x="36"/>
        <item x="78"/>
        <item x="6"/>
        <item x="152"/>
        <item x="53"/>
        <item x="23"/>
        <item x="110"/>
        <item x="62"/>
        <item x="88"/>
        <item x="18"/>
        <item x="87"/>
        <item x="38"/>
        <item x="156"/>
        <item x="79"/>
        <item x="0"/>
        <item x="172"/>
        <item x="63"/>
        <item x="10"/>
        <item x="13"/>
        <item x="24"/>
        <item x="150"/>
        <item x="40"/>
        <item x="179"/>
        <item x="42"/>
        <item x="121"/>
        <item x="103"/>
        <item x="166"/>
        <item x="94"/>
        <item x="49"/>
        <item x="138"/>
        <item x="77"/>
        <item x="98"/>
        <item x="162"/>
        <item x="29"/>
        <item x="169"/>
        <item x="151"/>
        <item x="56"/>
        <item x="153"/>
        <item x="15"/>
        <item x="16"/>
        <item x="95"/>
        <item x="144"/>
        <item x="160"/>
        <item x="140"/>
        <item x="47"/>
        <item x="39"/>
        <item x="4"/>
        <item x="158"/>
        <item x="68"/>
        <item x="129"/>
        <item x="155"/>
        <item x="101"/>
        <item x="5"/>
        <item x="22"/>
        <item x="83"/>
        <item x="7"/>
        <item x="59"/>
        <item x="157"/>
        <item x="124"/>
        <item x="100"/>
        <item x="44"/>
        <item x="74"/>
        <item x="65"/>
        <item x="97"/>
        <item x="34"/>
        <item x="93"/>
        <item x="148"/>
        <item x="105"/>
        <item x="46"/>
        <item x="130"/>
        <item x="141"/>
        <item x="14"/>
        <item x="131"/>
        <item x="31"/>
        <item x="132"/>
        <item x="176"/>
        <item x="45"/>
        <item x="75"/>
        <item x="125"/>
        <item x="57"/>
        <item x="114"/>
        <item x="126"/>
        <item x="134"/>
        <item x="60"/>
        <item x="159"/>
        <item x="92"/>
        <item x="82"/>
        <item x="165"/>
        <item x="117"/>
        <item x="178"/>
        <item x="122"/>
        <item x="136"/>
        <item x="115"/>
        <item x="41"/>
        <item x="99"/>
        <item x="51"/>
        <item x="118"/>
        <item x="96"/>
        <item x="167"/>
        <item x="54"/>
        <item x="127"/>
        <item x="149"/>
        <item x="9"/>
        <item x="170"/>
        <item x="112"/>
        <item x="128"/>
        <item x="81"/>
        <item x="145"/>
        <item x="174"/>
        <item x="139"/>
        <item x="20"/>
        <item x="84"/>
        <item x="35"/>
        <item x="28"/>
        <item x="8"/>
        <item x="52"/>
        <item x="73"/>
        <item x="168"/>
        <item x="133"/>
        <item x="17"/>
        <item x="3"/>
        <item x="11"/>
        <item x="33"/>
        <item x="142"/>
        <item x="30"/>
        <item x="69"/>
        <item x="108"/>
        <item x="111"/>
        <item x="91"/>
        <item x="25"/>
        <item x="171"/>
        <item x="146"/>
        <item x="85"/>
        <item x="107"/>
        <item x="182"/>
        <item x="143"/>
        <item x="76"/>
        <item x="180"/>
        <item x="2"/>
        <item x="43"/>
        <item x="67"/>
        <item x="86"/>
        <item x="80"/>
        <item x="113"/>
        <item x="1"/>
        <item x="154"/>
        <item x="119"/>
        <item x="12"/>
        <item x="55"/>
        <item x="163"/>
        <item x="50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compact="0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missingCaption="0" updatedVersion="5" minRefreshableVersion="3" useAutoFormatting="1" createdVersion="5" indent="0" compact="0" outline="1" outlineData="1" compactData="0" multipleFieldFilters="0" chartFormat="2">
  <location ref="B2:G54" firstHeaderRow="1" firstDataRow="2" firstDataCol="1"/>
  <pivotFields count="7">
    <pivotField axis="axisRow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compact="0" showAll="0">
      <items count="5">
        <item x="0"/>
        <item x="3"/>
        <item x="1"/>
        <item x="2"/>
        <item t="default"/>
      </items>
    </pivotField>
    <pivotField dataField="1" compact="0" showAll="0">
      <items count="198">
        <item x="111"/>
        <item x="190"/>
        <item x="130"/>
        <item x="144"/>
        <item x="92"/>
        <item x="195"/>
        <item x="146"/>
        <item x="113"/>
        <item x="64"/>
        <item x="177"/>
        <item x="27"/>
        <item x="116"/>
        <item x="104"/>
        <item x="91"/>
        <item x="186"/>
        <item x="48"/>
        <item x="70"/>
        <item x="172"/>
        <item x="126"/>
        <item x="173"/>
        <item x="32"/>
        <item x="26"/>
        <item x="21"/>
        <item x="53"/>
        <item x="156"/>
        <item x="192"/>
        <item x="61"/>
        <item x="62"/>
        <item x="72"/>
        <item x="58"/>
        <item x="143"/>
        <item x="161"/>
        <item x="38"/>
        <item x="19"/>
        <item x="71"/>
        <item x="187"/>
        <item x="167"/>
        <item x="128"/>
        <item x="122"/>
        <item x="78"/>
        <item x="98"/>
        <item x="159"/>
        <item x="89"/>
        <item x="185"/>
        <item x="36"/>
        <item x="23"/>
        <item x="18"/>
        <item x="109"/>
        <item x="142"/>
        <item x="37"/>
        <item x="24"/>
        <item x="7"/>
        <item x="160"/>
        <item x="34"/>
        <item x="0"/>
        <item x="112"/>
        <item x="137"/>
        <item x="63"/>
        <item x="66"/>
        <item x="138"/>
        <item x="107"/>
        <item x="117"/>
        <item x="74"/>
        <item x="168"/>
        <item x="157"/>
        <item x="47"/>
        <item x="120"/>
        <item x="133"/>
        <item x="175"/>
        <item x="110"/>
        <item x="6"/>
        <item x="13"/>
        <item x="90"/>
        <item x="164"/>
        <item x="39"/>
        <item x="75"/>
        <item x="65"/>
        <item x="147"/>
        <item x="180"/>
        <item x="94"/>
        <item x="103"/>
        <item x="45"/>
        <item x="95"/>
        <item x="96"/>
        <item x="79"/>
        <item x="105"/>
        <item x="191"/>
        <item x="16"/>
        <item x="136"/>
        <item x="182"/>
        <item x="51"/>
        <item x="49"/>
        <item x="40"/>
        <item x="148"/>
        <item x="189"/>
        <item x="153"/>
        <item x="52"/>
        <item x="149"/>
        <item x="85"/>
        <item x="171"/>
        <item x="11"/>
        <item x="59"/>
        <item x="69"/>
        <item x="22"/>
        <item x="33"/>
        <item x="179"/>
        <item x="101"/>
        <item x="99"/>
        <item x="15"/>
        <item x="9"/>
        <item x="181"/>
        <item x="35"/>
        <item x="170"/>
        <item x="84"/>
        <item x="97"/>
        <item x="10"/>
        <item x="73"/>
        <item x="108"/>
        <item x="118"/>
        <item x="135"/>
        <item x="183"/>
        <item x="115"/>
        <item x="174"/>
        <item x="86"/>
        <item x="54"/>
        <item x="145"/>
        <item x="42"/>
        <item x="44"/>
        <item x="152"/>
        <item x="154"/>
        <item x="46"/>
        <item x="77"/>
        <item x="41"/>
        <item x="4"/>
        <item x="81"/>
        <item x="127"/>
        <item x="56"/>
        <item x="165"/>
        <item x="60"/>
        <item x="162"/>
        <item x="5"/>
        <item x="188"/>
        <item x="20"/>
        <item x="134"/>
        <item x="129"/>
        <item x="132"/>
        <item x="184"/>
        <item x="25"/>
        <item x="43"/>
        <item x="194"/>
        <item x="119"/>
        <item x="29"/>
        <item x="28"/>
        <item x="8"/>
        <item x="88"/>
        <item x="106"/>
        <item x="124"/>
        <item x="155"/>
        <item x="196"/>
        <item x="178"/>
        <item x="82"/>
        <item x="141"/>
        <item x="1"/>
        <item x="193"/>
        <item x="80"/>
        <item x="139"/>
        <item x="3"/>
        <item x="67"/>
        <item x="68"/>
        <item x="76"/>
        <item x="100"/>
        <item x="30"/>
        <item x="83"/>
        <item x="131"/>
        <item x="121"/>
        <item x="2"/>
        <item x="14"/>
        <item x="17"/>
        <item x="87"/>
        <item x="158"/>
        <item x="166"/>
        <item x="163"/>
        <item x="55"/>
        <item x="140"/>
        <item x="114"/>
        <item x="50"/>
        <item x="93"/>
        <item x="176"/>
        <item x="31"/>
        <item x="102"/>
        <item x="150"/>
        <item x="57"/>
        <item x="169"/>
        <item x="125"/>
        <item x="151"/>
        <item x="123"/>
        <item x="12"/>
        <item t="default"/>
      </items>
    </pivotField>
    <pivotField compact="0" showAll="0">
      <items count="184">
        <item x="104"/>
        <item x="137"/>
        <item x="123"/>
        <item x="164"/>
        <item x="32"/>
        <item x="64"/>
        <item x="161"/>
        <item x="135"/>
        <item x="72"/>
        <item x="21"/>
        <item x="26"/>
        <item x="58"/>
        <item x="175"/>
        <item x="90"/>
        <item x="27"/>
        <item x="147"/>
        <item x="173"/>
        <item x="48"/>
        <item x="181"/>
        <item x="106"/>
        <item x="61"/>
        <item x="177"/>
        <item x="116"/>
        <item x="89"/>
        <item x="109"/>
        <item x="102"/>
        <item x="71"/>
        <item x="37"/>
        <item x="70"/>
        <item x="19"/>
        <item x="120"/>
        <item x="66"/>
        <item x="36"/>
        <item x="78"/>
        <item x="6"/>
        <item x="152"/>
        <item x="53"/>
        <item x="23"/>
        <item x="110"/>
        <item x="62"/>
        <item x="88"/>
        <item x="18"/>
        <item x="87"/>
        <item x="38"/>
        <item x="156"/>
        <item x="79"/>
        <item x="0"/>
        <item x="172"/>
        <item x="63"/>
        <item x="10"/>
        <item x="13"/>
        <item x="24"/>
        <item x="150"/>
        <item x="40"/>
        <item x="179"/>
        <item x="42"/>
        <item x="121"/>
        <item x="103"/>
        <item x="166"/>
        <item x="94"/>
        <item x="49"/>
        <item x="138"/>
        <item x="77"/>
        <item x="98"/>
        <item x="162"/>
        <item x="29"/>
        <item x="169"/>
        <item x="151"/>
        <item x="56"/>
        <item x="153"/>
        <item x="15"/>
        <item x="16"/>
        <item x="95"/>
        <item x="144"/>
        <item x="160"/>
        <item x="140"/>
        <item x="47"/>
        <item x="39"/>
        <item x="4"/>
        <item x="158"/>
        <item x="68"/>
        <item x="129"/>
        <item x="155"/>
        <item x="101"/>
        <item x="5"/>
        <item x="22"/>
        <item x="83"/>
        <item x="7"/>
        <item x="59"/>
        <item x="157"/>
        <item x="124"/>
        <item x="100"/>
        <item x="44"/>
        <item x="74"/>
        <item x="65"/>
        <item x="97"/>
        <item x="34"/>
        <item x="93"/>
        <item x="148"/>
        <item x="105"/>
        <item x="46"/>
        <item x="130"/>
        <item x="141"/>
        <item x="14"/>
        <item x="131"/>
        <item x="31"/>
        <item x="132"/>
        <item x="176"/>
        <item x="45"/>
        <item x="75"/>
        <item x="125"/>
        <item x="57"/>
        <item x="114"/>
        <item x="126"/>
        <item x="134"/>
        <item x="60"/>
        <item x="159"/>
        <item x="92"/>
        <item x="82"/>
        <item x="165"/>
        <item x="117"/>
        <item x="178"/>
        <item x="122"/>
        <item x="136"/>
        <item x="115"/>
        <item x="41"/>
        <item x="99"/>
        <item x="51"/>
        <item x="118"/>
        <item x="96"/>
        <item x="167"/>
        <item x="54"/>
        <item x="127"/>
        <item x="149"/>
        <item x="9"/>
        <item x="170"/>
        <item x="112"/>
        <item x="128"/>
        <item x="81"/>
        <item x="145"/>
        <item x="174"/>
        <item x="139"/>
        <item x="20"/>
        <item x="84"/>
        <item x="35"/>
        <item x="28"/>
        <item x="8"/>
        <item x="52"/>
        <item x="73"/>
        <item x="168"/>
        <item x="133"/>
        <item x="17"/>
        <item x="3"/>
        <item x="11"/>
        <item x="33"/>
        <item x="142"/>
        <item x="30"/>
        <item x="69"/>
        <item x="108"/>
        <item x="111"/>
        <item x="91"/>
        <item x="25"/>
        <item x="171"/>
        <item x="146"/>
        <item x="85"/>
        <item x="107"/>
        <item x="182"/>
        <item x="143"/>
        <item x="76"/>
        <item x="180"/>
        <item x="2"/>
        <item x="43"/>
        <item x="67"/>
        <item x="86"/>
        <item x="80"/>
        <item x="113"/>
        <item x="1"/>
        <item x="154"/>
        <item x="119"/>
        <item x="12"/>
        <item x="55"/>
        <item x="163"/>
        <item x="50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t="default"/>
      </items>
    </pivotField>
    <pivotField compact="0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formats count="3">
    <format dxfId="4">
      <pivotArea type="all" dataOnly="0" outline="0" fieldPosition="0"/>
    </format>
    <format>
      <pivotArea type="all" dataOnly="0" outline="0" fieldPosition="0"/>
    </format>
    <format dxfId="7">
      <pivotArea collapsedLevelsAreSubtotals="1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Relationship Id="rId2" Type="http://schemas.openxmlformats.org/officeDocument/2006/relationships/pivotTable" Target="../pivotTables/pivotTable2.xml" /><Relationship Id="rId3" Type="http://schemas.openxmlformats.org/officeDocument/2006/relationships/pivotTable" Target="../pivotTables/pivotTable3.xml" /><Relationship Id="rId4" Type="http://schemas.openxmlformats.org/officeDocument/2006/relationships/pivotTable" Target="../pivotTables/pivotTable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5.xml" /><Relationship Id="rId2" Type="http://schemas.openxmlformats.org/officeDocument/2006/relationships/pivotTable" Target="../pivotTables/pivotTable6.xml" /><Relationship Id="rId3" Type="http://schemas.openxmlformats.org/officeDocument/2006/relationships/pivotTable" Target="../pivotTables/pivotTable7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8.xml" /><Relationship Id="rId2" Type="http://schemas.openxmlformats.org/officeDocument/2006/relationships/pivotTable" Target="../pivotTables/pivotTable9.xml" /><Relationship Id="rId3" Type="http://schemas.openxmlformats.org/officeDocument/2006/relationships/pivotTable" Target="../pivotTables/pivotTable10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1.xml" /><Relationship Id="rId2" Type="http://schemas.openxmlformats.org/officeDocument/2006/relationships/pivotTable" Target="../pivotTables/pivotTable12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3.xml" /><Relationship Id="rId2" Type="http://schemas.openxmlformats.org/officeDocument/2006/relationships/pivotTable" Target="../pivotTables/pivotTable14.xml" /><Relationship Id="rId3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4" tint="-0.25"/>
  </sheetPr>
  <sheetViews>
    <sheetView workbookViewId="0">
      <selection activeCell="Y199" sqref="Y199"/>
    </sheetView>
  </sheetViews>
  <sheetFormatPr defaultColWidth="14.45313" defaultRowHeight="15" customHeight="1"/>
  <cols>
    <col min="1" max="1" width="8.726563" customWidth="1"/>
    <col min="2" max="2" width="10.81641" customWidth="1"/>
    <col min="3" max="3" width="29.54297" customWidth="1"/>
    <col min="4" max="4" width="25.17969" customWidth="1"/>
    <col min="5" max="5" width="34.17969" customWidth="1"/>
    <col min="6" max="10" width="8.726563" customWidth="1"/>
    <col min="11" max="11" width="10.63281" customWidth="1"/>
    <col min="12" max="12" width="33.45313" customWidth="1"/>
    <col min="13" max="26" width="8.726563" customWidth="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</row>
    <row r="2" ht="14.25" customHeight="1">
      <c r="A2" s="5" t="s">
        <v>12</v>
      </c>
      <c r="B2" s="5" t="s">
        <v>13</v>
      </c>
      <c r="C2" s="6" t="s">
        <v>14</v>
      </c>
      <c r="D2" s="5" t="s">
        <v>15</v>
      </c>
      <c r="E2" s="5" t="s">
        <v>16</v>
      </c>
      <c r="F2" s="5">
        <v>24516</v>
      </c>
      <c r="G2" s="5">
        <v>976</v>
      </c>
      <c r="H2" s="5">
        <v>974</v>
      </c>
      <c r="I2" s="5">
        <v>2675</v>
      </c>
      <c r="J2" s="7">
        <v>23275</v>
      </c>
      <c r="K2" s="5">
        <v>202932</v>
      </c>
      <c r="L2" s="5" t="s">
        <v>17</v>
      </c>
    </row>
    <row r="3" ht="14.25" customHeight="1">
      <c r="A3" s="5" t="s">
        <v>18</v>
      </c>
      <c r="B3" s="5" t="s">
        <v>19</v>
      </c>
      <c r="C3" s="8">
        <v>45903</v>
      </c>
      <c r="D3" s="5" t="s">
        <v>15</v>
      </c>
      <c r="E3" s="5" t="s">
        <v>20</v>
      </c>
      <c r="F3" s="5">
        <v>4779</v>
      </c>
      <c r="G3" s="5">
        <v>1110</v>
      </c>
      <c r="H3" s="5">
        <v>436</v>
      </c>
      <c r="I3" s="5">
        <v>1574</v>
      </c>
      <c r="J3" s="7">
        <v>77167</v>
      </c>
      <c r="K3" s="5">
        <v>71585</v>
      </c>
      <c r="L3" s="5" t="s">
        <v>21</v>
      </c>
    </row>
    <row r="4" ht="14.25" customHeight="1">
      <c r="A4" s="5" t="s">
        <v>22</v>
      </c>
      <c r="B4" s="5" t="s">
        <v>23</v>
      </c>
      <c r="C4" s="6" t="s">
        <v>24</v>
      </c>
      <c r="D4" s="5" t="s">
        <v>25</v>
      </c>
      <c r="E4" s="5" t="s">
        <v>26</v>
      </c>
      <c r="F4" s="5">
        <v>19308</v>
      </c>
      <c r="G4" s="5">
        <v>1318</v>
      </c>
      <c r="H4" s="5">
        <v>795</v>
      </c>
      <c r="I4" s="5">
        <v>1499</v>
      </c>
      <c r="J4" s="7">
        <v>52307</v>
      </c>
      <c r="K4" s="5">
        <v>193087</v>
      </c>
      <c r="L4" s="5" t="s">
        <v>27</v>
      </c>
    </row>
    <row r="5" ht="14.25" customHeight="1">
      <c r="A5" s="5" t="s">
        <v>28</v>
      </c>
      <c r="B5" s="5" t="s">
        <v>13</v>
      </c>
      <c r="C5" s="6" t="s">
        <v>29</v>
      </c>
      <c r="D5" s="5" t="s">
        <v>30</v>
      </c>
      <c r="E5" s="5" t="s">
        <v>31</v>
      </c>
      <c r="F5" s="5">
        <v>3581</v>
      </c>
      <c r="G5" s="5">
        <v>517</v>
      </c>
      <c r="H5" s="5">
        <v>880</v>
      </c>
      <c r="I5" s="5">
        <v>1925</v>
      </c>
      <c r="J5" s="7">
        <v>18636</v>
      </c>
      <c r="K5" s="5">
        <v>248611</v>
      </c>
      <c r="L5" s="5" t="s">
        <v>32</v>
      </c>
    </row>
    <row r="6" ht="14.25" customHeight="1">
      <c r="A6" s="5" t="s">
        <v>33</v>
      </c>
      <c r="B6" s="5" t="s">
        <v>13</v>
      </c>
      <c r="C6" s="8">
        <v>45904</v>
      </c>
      <c r="D6" s="5" t="s">
        <v>30</v>
      </c>
      <c r="E6" s="5" t="s">
        <v>16</v>
      </c>
      <c r="F6" s="5">
        <v>21708</v>
      </c>
      <c r="G6" s="5">
        <v>435</v>
      </c>
      <c r="H6" s="5">
        <v>317</v>
      </c>
      <c r="I6" s="5">
        <v>1213</v>
      </c>
      <c r="J6" s="7">
        <v>70701</v>
      </c>
      <c r="K6" s="5">
        <v>83585</v>
      </c>
      <c r="L6" s="5" t="s">
        <v>21</v>
      </c>
    </row>
    <row r="7" ht="14.25" customHeight="1">
      <c r="A7" s="5" t="s">
        <v>34</v>
      </c>
      <c r="B7" s="5" t="s">
        <v>19</v>
      </c>
      <c r="C7" s="8">
        <v>45905</v>
      </c>
      <c r="D7" s="5" t="s">
        <v>15</v>
      </c>
      <c r="E7" s="5" t="s">
        <v>35</v>
      </c>
      <c r="F7" s="5">
        <v>14677</v>
      </c>
      <c r="G7" s="5">
        <v>533</v>
      </c>
      <c r="H7" s="5">
        <v>759</v>
      </c>
      <c r="I7" s="5">
        <v>753</v>
      </c>
      <c r="J7" s="7">
        <v>23275</v>
      </c>
      <c r="K7" s="5">
        <v>66958</v>
      </c>
      <c r="L7" s="5" t="s">
        <v>21</v>
      </c>
    </row>
    <row r="8" ht="14.25" customHeight="1">
      <c r="A8" s="5" t="s">
        <v>36</v>
      </c>
      <c r="B8" s="5" t="s">
        <v>23</v>
      </c>
      <c r="C8" s="6" t="s">
        <v>37</v>
      </c>
      <c r="D8" s="5" t="s">
        <v>38</v>
      </c>
      <c r="E8" s="5" t="s">
        <v>39</v>
      </c>
      <c r="F8" s="5">
        <v>7713</v>
      </c>
      <c r="G8" s="5">
        <v>575</v>
      </c>
      <c r="H8" s="5">
        <v>417</v>
      </c>
      <c r="I8" s="5">
        <v>336</v>
      </c>
      <c r="J8" s="7">
        <v>61660</v>
      </c>
      <c r="K8" s="5">
        <v>66017</v>
      </c>
      <c r="L8" s="5" t="s">
        <v>32</v>
      </c>
    </row>
    <row r="9" ht="14.25" customHeight="1">
      <c r="A9" s="5" t="s">
        <v>40</v>
      </c>
      <c r="B9" s="5" t="s">
        <v>23</v>
      </c>
      <c r="C9" s="6" t="s">
        <v>41</v>
      </c>
      <c r="D9" s="5" t="s">
        <v>30</v>
      </c>
      <c r="E9" s="5" t="s">
        <v>42</v>
      </c>
      <c r="F9" s="5">
        <v>18639</v>
      </c>
      <c r="G9" s="5">
        <v>1360</v>
      </c>
      <c r="H9" s="5">
        <v>898</v>
      </c>
      <c r="I9" s="5">
        <v>2011</v>
      </c>
      <c r="J9" s="7">
        <v>42841</v>
      </c>
      <c r="K9" s="5">
        <v>247779</v>
      </c>
      <c r="L9" s="5" t="s">
        <v>32</v>
      </c>
    </row>
    <row r="10" ht="14.25" customHeight="1">
      <c r="A10" s="5" t="s">
        <v>43</v>
      </c>
      <c r="B10" s="5" t="s">
        <v>13</v>
      </c>
      <c r="C10" s="6" t="s">
        <v>44</v>
      </c>
      <c r="D10" s="5" t="s">
        <v>38</v>
      </c>
      <c r="E10" s="5" t="s">
        <v>20</v>
      </c>
      <c r="F10" s="5">
        <v>6804</v>
      </c>
      <c r="G10" s="5">
        <v>787</v>
      </c>
      <c r="H10" s="5">
        <v>970</v>
      </c>
      <c r="I10" s="5">
        <v>1095</v>
      </c>
      <c r="J10" s="7">
        <v>56343</v>
      </c>
      <c r="K10" s="5">
        <v>164677</v>
      </c>
      <c r="L10" s="5" t="s">
        <v>17</v>
      </c>
    </row>
    <row r="11" ht="14.25" customHeight="1">
      <c r="A11" s="5" t="s">
        <v>45</v>
      </c>
      <c r="B11" s="5" t="s">
        <v>46</v>
      </c>
      <c r="C11" s="6" t="s">
        <v>47</v>
      </c>
      <c r="D11" s="5" t="s">
        <v>30</v>
      </c>
      <c r="E11" s="5" t="s">
        <v>48</v>
      </c>
      <c r="F11" s="5">
        <v>20222</v>
      </c>
      <c r="G11" s="5">
        <v>712</v>
      </c>
      <c r="H11" s="5">
        <v>604</v>
      </c>
      <c r="I11" s="5">
        <v>1272</v>
      </c>
      <c r="J11" s="7">
        <v>71598</v>
      </c>
      <c r="K11" s="5">
        <v>216422</v>
      </c>
      <c r="L11" s="5" t="s">
        <v>27</v>
      </c>
    </row>
    <row r="12" ht="14.25" customHeight="1">
      <c r="A12" s="5" t="s">
        <v>49</v>
      </c>
      <c r="B12" s="5" t="s">
        <v>13</v>
      </c>
      <c r="C12" s="6" t="s">
        <v>50</v>
      </c>
      <c r="D12" s="5" t="s">
        <v>38</v>
      </c>
      <c r="E12" s="5" t="s">
        <v>31</v>
      </c>
      <c r="F12" s="5">
        <v>12136</v>
      </c>
      <c r="G12" s="5">
        <v>1117</v>
      </c>
      <c r="H12" s="5">
        <v>834</v>
      </c>
      <c r="I12" s="5">
        <v>892</v>
      </c>
      <c r="J12" s="7">
        <v>24675</v>
      </c>
      <c r="K12" s="5">
        <v>183273</v>
      </c>
      <c r="L12" s="5" t="s">
        <v>27</v>
      </c>
    </row>
    <row r="13" ht="14.25" customHeight="1">
      <c r="A13" s="5" t="s">
        <v>51</v>
      </c>
      <c r="B13" s="5" t="s">
        <v>13</v>
      </c>
      <c r="C13" s="6" t="s">
        <v>52</v>
      </c>
      <c r="D13" s="5" t="s">
        <v>25</v>
      </c>
      <c r="E13" s="5" t="s">
        <v>20</v>
      </c>
      <c r="F13" s="5">
        <v>2009</v>
      </c>
      <c r="G13" s="5">
        <v>1072</v>
      </c>
      <c r="H13" s="5">
        <v>550</v>
      </c>
      <c r="I13" s="5">
        <v>1437</v>
      </c>
      <c r="J13" s="7">
        <v>22982</v>
      </c>
      <c r="K13" s="5">
        <v>69426</v>
      </c>
      <c r="L13" s="5" t="s">
        <v>32</v>
      </c>
    </row>
    <row r="14" ht="14.25" customHeight="1">
      <c r="A14" s="5" t="s">
        <v>53</v>
      </c>
      <c r="B14" s="5" t="s">
        <v>13</v>
      </c>
      <c r="C14" s="6" t="s">
        <v>54</v>
      </c>
      <c r="D14" s="5" t="s">
        <v>38</v>
      </c>
      <c r="E14" s="5" t="s">
        <v>39</v>
      </c>
      <c r="F14" s="5">
        <v>21255</v>
      </c>
      <c r="G14" s="5">
        <v>1452</v>
      </c>
      <c r="H14" s="5">
        <v>625</v>
      </c>
      <c r="I14" s="5">
        <v>1624</v>
      </c>
      <c r="J14" s="7">
        <v>21282</v>
      </c>
      <c r="K14" s="5">
        <v>57778</v>
      </c>
      <c r="L14" s="5" t="s">
        <v>55</v>
      </c>
    </row>
    <row r="15" ht="14.25" customHeight="1">
      <c r="A15" s="5" t="s">
        <v>56</v>
      </c>
      <c r="B15" s="5" t="s">
        <v>13</v>
      </c>
      <c r="C15" s="8">
        <v>45906</v>
      </c>
      <c r="D15" s="5" t="s">
        <v>25</v>
      </c>
      <c r="E15" s="5" t="s">
        <v>42</v>
      </c>
      <c r="F15" s="5">
        <v>7124</v>
      </c>
      <c r="G15" s="5">
        <v>469</v>
      </c>
      <c r="H15" s="5">
        <v>851</v>
      </c>
      <c r="I15" s="5">
        <v>2571</v>
      </c>
      <c r="J15" s="7">
        <v>33802</v>
      </c>
      <c r="K15" s="5">
        <v>216313</v>
      </c>
      <c r="L15" s="5" t="s">
        <v>21</v>
      </c>
    </row>
    <row r="16" ht="14.25" customHeight="1">
      <c r="A16" s="5" t="s">
        <v>57</v>
      </c>
      <c r="B16" s="5" t="s">
        <v>19</v>
      </c>
      <c r="C16" s="8">
        <v>45907</v>
      </c>
      <c r="D16" s="5" t="s">
        <v>25</v>
      </c>
      <c r="E16" s="5" t="s">
        <v>26</v>
      </c>
      <c r="F16" s="5">
        <v>3015</v>
      </c>
      <c r="G16" s="5">
        <v>997</v>
      </c>
      <c r="H16" s="5">
        <v>783</v>
      </c>
      <c r="I16" s="5">
        <v>617</v>
      </c>
      <c r="J16" s="7">
        <v>77167</v>
      </c>
      <c r="K16" s="5">
        <v>82229</v>
      </c>
      <c r="L16" s="5" t="s">
        <v>21</v>
      </c>
    </row>
    <row r="17" ht="14.25" customHeight="1">
      <c r="A17" s="5" t="s">
        <v>58</v>
      </c>
      <c r="B17" s="5" t="s">
        <v>23</v>
      </c>
      <c r="C17" s="6" t="s">
        <v>59</v>
      </c>
      <c r="D17" s="5" t="s">
        <v>38</v>
      </c>
      <c r="E17" s="5" t="s">
        <v>42</v>
      </c>
      <c r="F17" s="5">
        <v>4193</v>
      </c>
      <c r="G17" s="5">
        <v>924</v>
      </c>
      <c r="H17" s="5">
        <v>707</v>
      </c>
      <c r="I17" s="5">
        <v>2696</v>
      </c>
      <c r="J17" s="7">
        <v>55075</v>
      </c>
      <c r="K17" s="5">
        <v>126652</v>
      </c>
      <c r="L17" s="5" t="s">
        <v>32</v>
      </c>
    </row>
    <row r="18" ht="14.25" customHeight="1">
      <c r="A18" s="5" t="s">
        <v>60</v>
      </c>
      <c r="B18" s="5" t="s">
        <v>19</v>
      </c>
      <c r="C18" s="6" t="s">
        <v>61</v>
      </c>
      <c r="D18" s="5" t="s">
        <v>25</v>
      </c>
      <c r="E18" s="5" t="s">
        <v>62</v>
      </c>
      <c r="F18" s="5">
        <v>10415</v>
      </c>
      <c r="G18" s="5">
        <v>1388</v>
      </c>
      <c r="H18" s="5">
        <v>725</v>
      </c>
      <c r="I18" s="5">
        <v>2462</v>
      </c>
      <c r="J18" s="7">
        <v>53082</v>
      </c>
      <c r="K18" s="5">
        <v>168267</v>
      </c>
      <c r="L18" s="5" t="s">
        <v>55</v>
      </c>
    </row>
    <row r="19" ht="14.25" customHeight="1">
      <c r="A19" s="5" t="s">
        <v>63</v>
      </c>
      <c r="B19" s="5" t="s">
        <v>19</v>
      </c>
      <c r="C19" s="6" t="s">
        <v>64</v>
      </c>
      <c r="D19" s="5" t="s">
        <v>15</v>
      </c>
      <c r="E19" s="5" t="s">
        <v>42</v>
      </c>
      <c r="F19" s="5">
        <v>15550</v>
      </c>
      <c r="G19" s="5">
        <v>204</v>
      </c>
      <c r="H19" s="5">
        <v>279</v>
      </c>
      <c r="I19" s="5">
        <v>1646</v>
      </c>
      <c r="J19" s="7">
        <v>35819</v>
      </c>
      <c r="K19" s="5">
        <v>219436</v>
      </c>
      <c r="L19" s="5" t="s">
        <v>17</v>
      </c>
    </row>
    <row r="20" ht="14.25" customHeight="1">
      <c r="A20" s="5" t="s">
        <v>65</v>
      </c>
      <c r="B20" s="5" t="s">
        <v>19</v>
      </c>
      <c r="C20" s="6" t="s">
        <v>66</v>
      </c>
      <c r="D20" s="5" t="s">
        <v>25</v>
      </c>
      <c r="E20" s="5" t="s">
        <v>62</v>
      </c>
      <c r="F20" s="5">
        <v>16512</v>
      </c>
      <c r="G20" s="5">
        <v>1050</v>
      </c>
      <c r="H20" s="5">
        <v>971</v>
      </c>
      <c r="I20" s="5">
        <v>1891</v>
      </c>
      <c r="J20" s="7">
        <v>15865</v>
      </c>
      <c r="K20" s="5">
        <v>166503</v>
      </c>
      <c r="L20" s="5" t="s">
        <v>32</v>
      </c>
    </row>
    <row r="21" ht="14.25" customHeight="1">
      <c r="A21" s="5" t="s">
        <v>67</v>
      </c>
      <c r="B21" s="5" t="s">
        <v>13</v>
      </c>
      <c r="C21" s="6" t="s">
        <v>68</v>
      </c>
      <c r="D21" s="5" t="s">
        <v>30</v>
      </c>
      <c r="E21" s="5" t="s">
        <v>26</v>
      </c>
      <c r="F21" s="5">
        <v>6158</v>
      </c>
      <c r="G21" s="5">
        <v>277</v>
      </c>
      <c r="H21" s="5">
        <v>512</v>
      </c>
      <c r="I21" s="5">
        <v>2189</v>
      </c>
      <c r="J21" s="7">
        <v>76881</v>
      </c>
      <c r="K21" s="5">
        <v>124878</v>
      </c>
      <c r="L21" s="5" t="s">
        <v>32</v>
      </c>
    </row>
    <row r="22" ht="14.25" customHeight="1">
      <c r="A22" s="5" t="s">
        <v>69</v>
      </c>
      <c r="B22" s="5" t="s">
        <v>46</v>
      </c>
      <c r="C22" s="8">
        <v>45908</v>
      </c>
      <c r="D22" s="5" t="s">
        <v>38</v>
      </c>
      <c r="E22" s="5" t="s">
        <v>70</v>
      </c>
      <c r="F22" s="5">
        <v>22309</v>
      </c>
      <c r="G22" s="5">
        <v>773</v>
      </c>
      <c r="H22" s="5">
        <v>854</v>
      </c>
      <c r="I22" s="5">
        <v>2387</v>
      </c>
      <c r="J22" s="7">
        <v>72396</v>
      </c>
      <c r="K22" s="5">
        <v>97056</v>
      </c>
      <c r="L22" s="5" t="s">
        <v>21</v>
      </c>
    </row>
    <row r="23" ht="14.25" customHeight="1">
      <c r="A23" s="5" t="s">
        <v>71</v>
      </c>
      <c r="B23" s="5" t="s">
        <v>23</v>
      </c>
      <c r="C23" s="6" t="s">
        <v>72</v>
      </c>
      <c r="D23" s="5" t="s">
        <v>15</v>
      </c>
      <c r="E23" s="5" t="s">
        <v>39</v>
      </c>
      <c r="F23" s="5">
        <v>8970</v>
      </c>
      <c r="G23" s="5">
        <v>331</v>
      </c>
      <c r="H23" s="5">
        <v>968</v>
      </c>
      <c r="I23" s="5">
        <v>2296</v>
      </c>
      <c r="J23" s="7">
        <v>24613</v>
      </c>
      <c r="K23" s="5">
        <v>198562</v>
      </c>
      <c r="L23" s="5" t="s">
        <v>32</v>
      </c>
    </row>
    <row r="24" ht="14.25" customHeight="1">
      <c r="A24" s="5" t="s">
        <v>73</v>
      </c>
      <c r="B24" s="5" t="s">
        <v>46</v>
      </c>
      <c r="C24" s="6" t="s">
        <v>74</v>
      </c>
      <c r="D24" s="5" t="s">
        <v>38</v>
      </c>
      <c r="E24" s="5" t="s">
        <v>62</v>
      </c>
      <c r="F24" s="5">
        <v>8938</v>
      </c>
      <c r="G24" s="5">
        <v>800</v>
      </c>
      <c r="H24" s="5">
        <v>842</v>
      </c>
      <c r="I24" s="5">
        <v>2072</v>
      </c>
      <c r="J24" s="7">
        <v>31736</v>
      </c>
      <c r="K24" s="5">
        <v>59975</v>
      </c>
      <c r="L24" s="5" t="s">
        <v>32</v>
      </c>
    </row>
    <row r="25" ht="14.25" customHeight="1">
      <c r="A25" s="5" t="s">
        <v>75</v>
      </c>
      <c r="B25" s="5" t="s">
        <v>19</v>
      </c>
      <c r="C25" s="6" t="s">
        <v>76</v>
      </c>
      <c r="D25" s="5" t="s">
        <v>30</v>
      </c>
      <c r="E25" s="5" t="s">
        <v>48</v>
      </c>
      <c r="F25" s="5">
        <v>23168</v>
      </c>
      <c r="G25" s="5">
        <v>1265</v>
      </c>
      <c r="H25" s="5">
        <v>441</v>
      </c>
      <c r="I25" s="5">
        <v>1612</v>
      </c>
      <c r="J25" s="7">
        <v>66615</v>
      </c>
      <c r="K25" s="5">
        <v>197795</v>
      </c>
      <c r="L25" s="5" t="s">
        <v>32</v>
      </c>
    </row>
    <row r="26" ht="14.25" customHeight="1">
      <c r="A26" s="5" t="s">
        <v>77</v>
      </c>
      <c r="B26" s="5" t="s">
        <v>19</v>
      </c>
      <c r="C26" s="8">
        <v>45909</v>
      </c>
      <c r="D26" s="5" t="s">
        <v>30</v>
      </c>
      <c r="E26" s="5" t="s">
        <v>42</v>
      </c>
      <c r="F26" s="5">
        <v>15772</v>
      </c>
      <c r="G26" s="5">
        <v>288</v>
      </c>
      <c r="H26" s="5">
        <v>520</v>
      </c>
      <c r="I26" s="5">
        <v>1585</v>
      </c>
      <c r="J26" s="7">
        <v>59182</v>
      </c>
      <c r="K26" s="5">
        <v>194351</v>
      </c>
      <c r="L26" s="5" t="s">
        <v>21</v>
      </c>
    </row>
    <row r="27" ht="14.25" customHeight="1">
      <c r="A27" s="5" t="s">
        <v>78</v>
      </c>
      <c r="B27" s="5" t="s">
        <v>46</v>
      </c>
      <c r="C27" s="6" t="s">
        <v>79</v>
      </c>
      <c r="D27" s="5" t="s">
        <v>30</v>
      </c>
      <c r="E27" s="5" t="s">
        <v>42</v>
      </c>
      <c r="F27" s="5">
        <v>22384</v>
      </c>
      <c r="G27" s="5">
        <v>601</v>
      </c>
      <c r="H27" s="5">
        <v>943</v>
      </c>
      <c r="I27" s="5">
        <v>515</v>
      </c>
      <c r="J27" s="7">
        <v>41309</v>
      </c>
      <c r="K27" s="5">
        <v>249373</v>
      </c>
      <c r="L27" s="5" t="s">
        <v>17</v>
      </c>
    </row>
    <row r="28" ht="14.25" customHeight="1">
      <c r="A28" s="5" t="s">
        <v>80</v>
      </c>
      <c r="B28" s="5" t="s">
        <v>46</v>
      </c>
      <c r="C28" s="6" t="s">
        <v>81</v>
      </c>
      <c r="D28" s="5" t="s">
        <v>25</v>
      </c>
      <c r="E28" s="5" t="s">
        <v>48</v>
      </c>
      <c r="F28" s="5">
        <v>20017</v>
      </c>
      <c r="G28" s="5">
        <v>495</v>
      </c>
      <c r="H28" s="5">
        <v>178</v>
      </c>
      <c r="I28" s="5">
        <v>2683</v>
      </c>
      <c r="J28" s="7">
        <v>32244</v>
      </c>
      <c r="K28" s="5">
        <v>182633</v>
      </c>
      <c r="L28" s="5" t="s">
        <v>17</v>
      </c>
    </row>
    <row r="29" ht="14.25" customHeight="1">
      <c r="A29" s="5" t="s">
        <v>82</v>
      </c>
      <c r="B29" s="5" t="s">
        <v>46</v>
      </c>
      <c r="C29" s="6" t="s">
        <v>83</v>
      </c>
      <c r="D29" s="5" t="s">
        <v>25</v>
      </c>
      <c r="E29" s="5" t="s">
        <v>35</v>
      </c>
      <c r="F29" s="5">
        <v>12344</v>
      </c>
      <c r="G29" s="5">
        <v>815</v>
      </c>
      <c r="H29" s="5">
        <v>298</v>
      </c>
      <c r="I29" s="5">
        <v>2439</v>
      </c>
      <c r="J29" s="7">
        <v>6259</v>
      </c>
      <c r="K29" s="5">
        <v>237133</v>
      </c>
      <c r="L29" s="5" t="s">
        <v>32</v>
      </c>
    </row>
    <row r="30" ht="14.25" customHeight="1">
      <c r="A30" s="5" t="s">
        <v>84</v>
      </c>
      <c r="B30" s="5" t="s">
        <v>19</v>
      </c>
      <c r="C30" s="8">
        <v>45910</v>
      </c>
      <c r="D30" s="5" t="s">
        <v>38</v>
      </c>
      <c r="E30" s="5" t="s">
        <v>85</v>
      </c>
      <c r="F30" s="5">
        <v>9266</v>
      </c>
      <c r="G30" s="5">
        <v>999</v>
      </c>
      <c r="H30" s="5">
        <v>928</v>
      </c>
      <c r="I30" s="5">
        <v>2700</v>
      </c>
      <c r="J30" s="7">
        <v>12264</v>
      </c>
      <c r="K30" s="5">
        <v>128397</v>
      </c>
      <c r="L30" s="5" t="s">
        <v>21</v>
      </c>
    </row>
    <row r="31" ht="14.25" customHeight="1">
      <c r="A31" s="5" t="s">
        <v>86</v>
      </c>
      <c r="B31" s="5" t="s">
        <v>19</v>
      </c>
      <c r="C31" s="6" t="s">
        <v>87</v>
      </c>
      <c r="D31" s="5" t="s">
        <v>38</v>
      </c>
      <c r="E31" s="5" t="s">
        <v>70</v>
      </c>
      <c r="F31" s="5">
        <v>10702</v>
      </c>
      <c r="G31" s="5">
        <v>621</v>
      </c>
      <c r="H31" s="5">
        <v>445</v>
      </c>
      <c r="I31" s="5">
        <v>2918</v>
      </c>
      <c r="J31" s="7">
        <v>54808</v>
      </c>
      <c r="K31" s="5">
        <v>220225</v>
      </c>
      <c r="L31" s="5" t="s">
        <v>17</v>
      </c>
    </row>
    <row r="32" ht="14.25" customHeight="1">
      <c r="A32" s="5" t="s">
        <v>88</v>
      </c>
      <c r="B32" s="5" t="s">
        <v>23</v>
      </c>
      <c r="C32" s="6" t="s">
        <v>89</v>
      </c>
      <c r="D32" s="5" t="s">
        <v>15</v>
      </c>
      <c r="E32" s="5" t="s">
        <v>31</v>
      </c>
      <c r="F32" s="5">
        <v>2384</v>
      </c>
      <c r="G32" s="5">
        <v>1246</v>
      </c>
      <c r="H32" s="5">
        <v>160</v>
      </c>
      <c r="I32" s="5">
        <v>2004</v>
      </c>
      <c r="J32" s="7">
        <v>2701</v>
      </c>
      <c r="K32" s="5">
        <v>73142</v>
      </c>
      <c r="L32" s="5" t="s">
        <v>17</v>
      </c>
    </row>
    <row r="33" ht="14.25" customHeight="1">
      <c r="A33" s="5" t="s">
        <v>90</v>
      </c>
      <c r="B33" s="5" t="s">
        <v>23</v>
      </c>
      <c r="C33" s="6" t="s">
        <v>91</v>
      </c>
      <c r="D33" s="5" t="s">
        <v>15</v>
      </c>
      <c r="E33" s="5" t="s">
        <v>62</v>
      </c>
      <c r="F33" s="5">
        <v>2404</v>
      </c>
      <c r="G33" s="5">
        <v>774</v>
      </c>
      <c r="H33" s="5">
        <v>661</v>
      </c>
      <c r="I33" s="5">
        <v>662</v>
      </c>
      <c r="J33" s="7">
        <v>12676</v>
      </c>
      <c r="K33" s="5">
        <v>66916</v>
      </c>
      <c r="L33" s="5" t="s">
        <v>17</v>
      </c>
    </row>
    <row r="34" ht="14.25" customHeight="1">
      <c r="A34" s="5" t="s">
        <v>92</v>
      </c>
      <c r="B34" s="5" t="s">
        <v>19</v>
      </c>
      <c r="C34" s="8">
        <v>45911</v>
      </c>
      <c r="D34" s="5" t="s">
        <v>38</v>
      </c>
      <c r="E34" s="5" t="s">
        <v>48</v>
      </c>
      <c r="F34" s="5">
        <v>10175</v>
      </c>
      <c r="G34" s="5">
        <v>342</v>
      </c>
      <c r="H34" s="5">
        <v>825</v>
      </c>
      <c r="I34" s="5">
        <v>2904</v>
      </c>
      <c r="J34" s="7">
        <v>15954</v>
      </c>
      <c r="K34" s="5">
        <v>104324</v>
      </c>
      <c r="L34" s="5" t="s">
        <v>21</v>
      </c>
    </row>
    <row r="35" ht="14.25" customHeight="1">
      <c r="A35" s="5" t="s">
        <v>93</v>
      </c>
      <c r="B35" s="5" t="s">
        <v>46</v>
      </c>
      <c r="C35" s="8">
        <v>45912</v>
      </c>
      <c r="D35" s="5" t="s">
        <v>25</v>
      </c>
      <c r="E35" s="5" t="s">
        <v>26</v>
      </c>
      <c r="F35" s="5">
        <v>17158</v>
      </c>
      <c r="G35" s="5">
        <v>1192</v>
      </c>
      <c r="H35" s="5">
        <v>262</v>
      </c>
      <c r="I35" s="5">
        <v>2016</v>
      </c>
      <c r="J35" s="7">
        <v>28771</v>
      </c>
      <c r="K35" s="5">
        <v>216037</v>
      </c>
      <c r="L35" s="5" t="s">
        <v>21</v>
      </c>
    </row>
    <row r="36" ht="14.25" customHeight="1">
      <c r="A36" s="5" t="s">
        <v>94</v>
      </c>
      <c r="B36" s="5" t="s">
        <v>46</v>
      </c>
      <c r="C36" s="6" t="s">
        <v>95</v>
      </c>
      <c r="D36" s="5" t="s">
        <v>30</v>
      </c>
      <c r="E36" s="5" t="s">
        <v>62</v>
      </c>
      <c r="F36" s="5">
        <v>14763</v>
      </c>
      <c r="G36" s="5">
        <v>864</v>
      </c>
      <c r="H36" s="5">
        <v>336</v>
      </c>
      <c r="I36" s="5">
        <v>1493</v>
      </c>
      <c r="J36" s="7">
        <v>33310</v>
      </c>
      <c r="K36" s="5">
        <v>165932</v>
      </c>
      <c r="L36" s="5" t="s">
        <v>32</v>
      </c>
    </row>
    <row r="37" ht="14.25" customHeight="1">
      <c r="A37" s="5" t="s">
        <v>96</v>
      </c>
      <c r="B37" s="5" t="s">
        <v>23</v>
      </c>
      <c r="C37" s="6" t="s">
        <v>97</v>
      </c>
      <c r="D37" s="5" t="s">
        <v>38</v>
      </c>
      <c r="E37" s="5" t="s">
        <v>85</v>
      </c>
      <c r="F37" s="5">
        <v>20384</v>
      </c>
      <c r="G37" s="5">
        <v>344</v>
      </c>
      <c r="H37" s="5">
        <v>956</v>
      </c>
      <c r="I37" s="5">
        <v>655</v>
      </c>
      <c r="J37" s="7">
        <v>67621</v>
      </c>
      <c r="K37" s="5">
        <v>175720</v>
      </c>
      <c r="L37" s="5" t="s">
        <v>27</v>
      </c>
    </row>
    <row r="38" ht="14.25" customHeight="1">
      <c r="A38" s="5" t="s">
        <v>98</v>
      </c>
      <c r="B38" s="5" t="s">
        <v>19</v>
      </c>
      <c r="C38" s="6" t="s">
        <v>99</v>
      </c>
      <c r="D38" s="5" t="s">
        <v>15</v>
      </c>
      <c r="E38" s="5" t="s">
        <v>26</v>
      </c>
      <c r="F38" s="5">
        <v>11860</v>
      </c>
      <c r="G38" s="5">
        <v>1448</v>
      </c>
      <c r="H38" s="5">
        <v>893</v>
      </c>
      <c r="I38" s="5">
        <v>490</v>
      </c>
      <c r="J38" s="7">
        <v>23518</v>
      </c>
      <c r="K38" s="5">
        <v>206205</v>
      </c>
      <c r="L38" s="5" t="s">
        <v>17</v>
      </c>
    </row>
    <row r="39" ht="14.25" customHeight="1">
      <c r="A39" s="5" t="s">
        <v>100</v>
      </c>
      <c r="B39" s="5" t="s">
        <v>23</v>
      </c>
      <c r="C39" s="6" t="s">
        <v>101</v>
      </c>
      <c r="D39" s="5" t="s">
        <v>25</v>
      </c>
      <c r="E39" s="5" t="s">
        <v>20</v>
      </c>
      <c r="F39" s="5">
        <v>7989</v>
      </c>
      <c r="G39" s="5">
        <v>1206</v>
      </c>
      <c r="H39" s="5">
        <v>376</v>
      </c>
      <c r="I39" s="5">
        <v>2769</v>
      </c>
      <c r="J39" s="7">
        <v>27550</v>
      </c>
      <c r="K39" s="5">
        <v>221749</v>
      </c>
      <c r="L39" s="5" t="s">
        <v>27</v>
      </c>
    </row>
    <row r="40" ht="14.25" customHeight="1">
      <c r="A40" s="5" t="s">
        <v>102</v>
      </c>
      <c r="B40" s="5" t="s">
        <v>23</v>
      </c>
      <c r="C40" s="8">
        <v>45913</v>
      </c>
      <c r="D40" s="5" t="s">
        <v>38</v>
      </c>
      <c r="E40" s="5" t="s">
        <v>39</v>
      </c>
      <c r="F40" s="5">
        <v>17106</v>
      </c>
      <c r="G40" s="5">
        <v>702</v>
      </c>
      <c r="H40" s="5">
        <v>459</v>
      </c>
      <c r="I40" s="5">
        <v>999</v>
      </c>
      <c r="J40" s="7">
        <v>59627</v>
      </c>
      <c r="K40" s="5">
        <v>136059</v>
      </c>
      <c r="L40" s="5" t="s">
        <v>21</v>
      </c>
    </row>
    <row r="41" ht="14.25" customHeight="1">
      <c r="A41" s="5" t="s">
        <v>103</v>
      </c>
      <c r="B41" s="5" t="s">
        <v>13</v>
      </c>
      <c r="C41" s="8">
        <v>45914</v>
      </c>
      <c r="D41" s="5" t="s">
        <v>38</v>
      </c>
      <c r="E41" s="5" t="s">
        <v>42</v>
      </c>
      <c r="F41" s="5">
        <v>19844</v>
      </c>
      <c r="G41" s="5">
        <v>1020</v>
      </c>
      <c r="H41" s="5">
        <v>247</v>
      </c>
      <c r="I41" s="5">
        <v>2354</v>
      </c>
      <c r="J41" s="7">
        <v>37792</v>
      </c>
      <c r="K41" s="5">
        <v>138317</v>
      </c>
      <c r="L41" s="5" t="s">
        <v>21</v>
      </c>
    </row>
    <row r="42" ht="14.25" customHeight="1">
      <c r="A42" s="5" t="s">
        <v>104</v>
      </c>
      <c r="B42" s="5" t="s">
        <v>13</v>
      </c>
      <c r="C42" s="8">
        <v>45915</v>
      </c>
      <c r="D42" s="5" t="s">
        <v>25</v>
      </c>
      <c r="E42" s="5" t="s">
        <v>20</v>
      </c>
      <c r="F42" s="5">
        <v>5636</v>
      </c>
      <c r="G42" s="5">
        <v>303</v>
      </c>
      <c r="H42" s="5">
        <v>204</v>
      </c>
      <c r="I42" s="5">
        <v>2480</v>
      </c>
      <c r="J42" s="7">
        <v>7377</v>
      </c>
      <c r="K42" s="5">
        <v>241207</v>
      </c>
      <c r="L42" s="5" t="s">
        <v>21</v>
      </c>
    </row>
    <row r="43" ht="14.25" customHeight="1">
      <c r="A43" s="5" t="s">
        <v>105</v>
      </c>
      <c r="B43" s="5" t="s">
        <v>13</v>
      </c>
      <c r="C43" s="6" t="s">
        <v>106</v>
      </c>
      <c r="D43" s="5" t="s">
        <v>38</v>
      </c>
      <c r="E43" s="5" t="s">
        <v>62</v>
      </c>
      <c r="F43" s="5">
        <v>12916</v>
      </c>
      <c r="G43" s="5">
        <v>1262</v>
      </c>
      <c r="H43" s="5">
        <v>772</v>
      </c>
      <c r="I43" s="5">
        <v>856</v>
      </c>
      <c r="J43" s="7">
        <v>11496</v>
      </c>
      <c r="K43" s="5">
        <v>75046</v>
      </c>
      <c r="L43" s="5" t="s">
        <v>27</v>
      </c>
    </row>
    <row r="44" ht="14.25" customHeight="1">
      <c r="A44" s="5" t="s">
        <v>107</v>
      </c>
      <c r="B44" s="5" t="s">
        <v>46</v>
      </c>
      <c r="C44" s="8">
        <v>45916</v>
      </c>
      <c r="D44" s="5" t="s">
        <v>25</v>
      </c>
      <c r="E44" s="5" t="s">
        <v>85</v>
      </c>
      <c r="F44" s="5">
        <v>6809</v>
      </c>
      <c r="G44" s="5">
        <v>397</v>
      </c>
      <c r="H44" s="5">
        <v>813</v>
      </c>
      <c r="I44" s="5">
        <v>1125</v>
      </c>
      <c r="J44" s="7">
        <v>12206</v>
      </c>
      <c r="K44" s="5">
        <v>218136</v>
      </c>
      <c r="L44" s="5" t="s">
        <v>21</v>
      </c>
    </row>
    <row r="45" ht="14.25" customHeight="1">
      <c r="A45" s="5" t="s">
        <v>108</v>
      </c>
      <c r="B45" s="5" t="s">
        <v>19</v>
      </c>
      <c r="C45" s="6" t="s">
        <v>109</v>
      </c>
      <c r="D45" s="5" t="s">
        <v>30</v>
      </c>
      <c r="E45" s="5" t="s">
        <v>70</v>
      </c>
      <c r="F45" s="5">
        <v>22562</v>
      </c>
      <c r="G45" s="5">
        <v>778</v>
      </c>
      <c r="H45" s="5">
        <v>907</v>
      </c>
      <c r="I45" s="5">
        <v>1354</v>
      </c>
      <c r="J45" s="7">
        <v>34475</v>
      </c>
      <c r="K45" s="5">
        <v>141459</v>
      </c>
      <c r="L45" s="5" t="s">
        <v>32</v>
      </c>
    </row>
    <row r="46" ht="14.25" customHeight="1">
      <c r="A46" s="5" t="s">
        <v>110</v>
      </c>
      <c r="B46" s="5" t="s">
        <v>19</v>
      </c>
      <c r="C46" s="8">
        <v>45917</v>
      </c>
      <c r="D46" s="5" t="s">
        <v>25</v>
      </c>
      <c r="E46" s="5" t="s">
        <v>39</v>
      </c>
      <c r="F46" s="5">
        <v>15456</v>
      </c>
      <c r="G46" s="5">
        <v>590</v>
      </c>
      <c r="H46" s="5">
        <v>555</v>
      </c>
      <c r="I46" s="5">
        <v>2882</v>
      </c>
      <c r="J46" s="7">
        <v>49816</v>
      </c>
      <c r="K46" s="5">
        <v>240422</v>
      </c>
      <c r="L46" s="5" t="s">
        <v>21</v>
      </c>
    </row>
    <row r="47" ht="14.25" customHeight="1">
      <c r="A47" s="5" t="s">
        <v>111</v>
      </c>
      <c r="B47" s="5" t="s">
        <v>19</v>
      </c>
      <c r="C47" s="6" t="s">
        <v>112</v>
      </c>
      <c r="D47" s="5" t="s">
        <v>25</v>
      </c>
      <c r="E47" s="5" t="s">
        <v>62</v>
      </c>
      <c r="F47" s="5">
        <v>17444</v>
      </c>
      <c r="G47" s="5">
        <v>1402</v>
      </c>
      <c r="H47" s="5">
        <v>218</v>
      </c>
      <c r="I47" s="5">
        <v>725</v>
      </c>
      <c r="J47" s="7">
        <v>8710</v>
      </c>
      <c r="K47" s="5">
        <v>85893</v>
      </c>
      <c r="L47" s="5" t="s">
        <v>55</v>
      </c>
    </row>
    <row r="48" ht="14.25" customHeight="1">
      <c r="A48" s="5" t="s">
        <v>113</v>
      </c>
      <c r="B48" s="5" t="s">
        <v>19</v>
      </c>
      <c r="C48" s="6" t="s">
        <v>114</v>
      </c>
      <c r="D48" s="5" t="s">
        <v>25</v>
      </c>
      <c r="E48" s="5" t="s">
        <v>48</v>
      </c>
      <c r="F48" s="5">
        <v>24984</v>
      </c>
      <c r="G48" s="5">
        <v>753</v>
      </c>
      <c r="H48" s="5">
        <v>461</v>
      </c>
      <c r="I48" s="5">
        <v>2710</v>
      </c>
      <c r="J48" s="7">
        <v>20792</v>
      </c>
      <c r="K48" s="5">
        <v>141520</v>
      </c>
      <c r="L48" s="5" t="s">
        <v>27</v>
      </c>
    </row>
    <row r="49" ht="14.25" customHeight="1">
      <c r="A49" s="5" t="s">
        <v>115</v>
      </c>
      <c r="B49" s="5" t="s">
        <v>13</v>
      </c>
      <c r="C49" s="6" t="s">
        <v>47</v>
      </c>
      <c r="D49" s="5" t="s">
        <v>38</v>
      </c>
      <c r="E49" s="5" t="s">
        <v>16</v>
      </c>
      <c r="F49" s="5">
        <v>7997</v>
      </c>
      <c r="G49" s="5">
        <v>1238</v>
      </c>
      <c r="H49" s="5">
        <v>438</v>
      </c>
      <c r="I49" s="5">
        <v>1874</v>
      </c>
      <c r="J49" s="7">
        <v>36272</v>
      </c>
      <c r="K49" s="5">
        <v>165818</v>
      </c>
      <c r="L49" s="5" t="s">
        <v>55</v>
      </c>
    </row>
    <row r="50" ht="14.25" customHeight="1">
      <c r="A50" s="5" t="s">
        <v>116</v>
      </c>
      <c r="B50" s="5" t="s">
        <v>46</v>
      </c>
      <c r="C50" s="8">
        <v>45918</v>
      </c>
      <c r="D50" s="5" t="s">
        <v>38</v>
      </c>
      <c r="E50" s="5" t="s">
        <v>62</v>
      </c>
      <c r="F50" s="5">
        <v>4048</v>
      </c>
      <c r="G50" s="5">
        <v>677</v>
      </c>
      <c r="H50" s="5">
        <v>911</v>
      </c>
      <c r="I50" s="5">
        <v>2429</v>
      </c>
      <c r="J50" s="7">
        <v>27361</v>
      </c>
      <c r="K50" s="5">
        <v>101272</v>
      </c>
      <c r="L50" s="5" t="s">
        <v>21</v>
      </c>
    </row>
    <row r="51" ht="14.25" customHeight="1">
      <c r="A51" s="5" t="s">
        <v>117</v>
      </c>
      <c r="B51" s="5" t="s">
        <v>46</v>
      </c>
      <c r="C51" s="6" t="s">
        <v>118</v>
      </c>
      <c r="D51" s="5" t="s">
        <v>25</v>
      </c>
      <c r="E51" s="5" t="s">
        <v>39</v>
      </c>
      <c r="F51" s="5">
        <v>14338</v>
      </c>
      <c r="G51" s="5">
        <v>1454</v>
      </c>
      <c r="H51" s="5">
        <v>697</v>
      </c>
      <c r="I51" s="5">
        <v>2703</v>
      </c>
      <c r="J51" s="7">
        <v>21288</v>
      </c>
      <c r="K51" s="5">
        <v>107649</v>
      </c>
      <c r="L51" s="5" t="s">
        <v>32</v>
      </c>
    </row>
    <row r="52" ht="14.25" customHeight="1">
      <c r="A52" s="5" t="s">
        <v>119</v>
      </c>
      <c r="B52" s="5" t="s">
        <v>13</v>
      </c>
      <c r="C52" s="6" t="s">
        <v>120</v>
      </c>
      <c r="D52" s="5" t="s">
        <v>38</v>
      </c>
      <c r="E52" s="5" t="s">
        <v>42</v>
      </c>
      <c r="F52" s="5">
        <v>23164</v>
      </c>
      <c r="G52" s="5">
        <v>1122</v>
      </c>
      <c r="H52" s="5">
        <v>900</v>
      </c>
      <c r="I52" s="5">
        <v>888</v>
      </c>
      <c r="J52" s="7">
        <v>36938</v>
      </c>
      <c r="K52" s="5">
        <v>104674</v>
      </c>
      <c r="L52" s="5" t="s">
        <v>17</v>
      </c>
    </row>
    <row r="53" ht="14.25" customHeight="1">
      <c r="A53" s="5" t="s">
        <v>121</v>
      </c>
      <c r="B53" s="5" t="s">
        <v>46</v>
      </c>
      <c r="C53" s="8">
        <v>45919</v>
      </c>
      <c r="D53" s="5" t="s">
        <v>15</v>
      </c>
      <c r="E53" s="5" t="s">
        <v>42</v>
      </c>
      <c r="F53" s="5">
        <v>19100</v>
      </c>
      <c r="G53" s="5">
        <v>619</v>
      </c>
      <c r="H53" s="5">
        <v>297</v>
      </c>
      <c r="I53" s="5">
        <v>2312</v>
      </c>
      <c r="J53" s="7">
        <v>9730</v>
      </c>
      <c r="K53" s="5">
        <v>184832</v>
      </c>
      <c r="L53" s="5" t="s">
        <v>21</v>
      </c>
    </row>
    <row r="54" ht="14.25" customHeight="1">
      <c r="A54" s="5" t="s">
        <v>122</v>
      </c>
      <c r="B54" s="5" t="s">
        <v>13</v>
      </c>
      <c r="C54" s="6" t="s">
        <v>114</v>
      </c>
      <c r="D54" s="5" t="s">
        <v>15</v>
      </c>
      <c r="E54" s="5" t="s">
        <v>62</v>
      </c>
      <c r="F54" s="5">
        <v>23949</v>
      </c>
      <c r="G54" s="5">
        <v>356</v>
      </c>
      <c r="H54" s="5">
        <v>616</v>
      </c>
      <c r="I54" s="5">
        <v>1847</v>
      </c>
      <c r="J54" s="7">
        <v>3144</v>
      </c>
      <c r="K54" s="5">
        <v>192999</v>
      </c>
      <c r="L54" s="5" t="s">
        <v>32</v>
      </c>
    </row>
    <row r="55" ht="14.25" customHeight="1">
      <c r="A55" s="5" t="s">
        <v>123</v>
      </c>
      <c r="B55" s="5" t="s">
        <v>19</v>
      </c>
      <c r="C55" s="6" t="s">
        <v>124</v>
      </c>
      <c r="D55" s="5" t="s">
        <v>38</v>
      </c>
      <c r="E55" s="5" t="s">
        <v>26</v>
      </c>
      <c r="F55" s="5">
        <v>6544</v>
      </c>
      <c r="G55" s="5">
        <v>749</v>
      </c>
      <c r="H55" s="5">
        <v>888</v>
      </c>
      <c r="I55" s="5">
        <v>594</v>
      </c>
      <c r="J55" s="7">
        <v>18171</v>
      </c>
      <c r="K55" s="5">
        <v>126475</v>
      </c>
      <c r="L55" s="5" t="s">
        <v>27</v>
      </c>
    </row>
    <row r="56" ht="14.25" customHeight="1">
      <c r="A56" s="5" t="s">
        <v>125</v>
      </c>
      <c r="B56" s="5" t="s">
        <v>13</v>
      </c>
      <c r="C56" s="6" t="s">
        <v>126</v>
      </c>
      <c r="D56" s="5" t="s">
        <v>38</v>
      </c>
      <c r="E56" s="5" t="s">
        <v>16</v>
      </c>
      <c r="F56" s="5">
        <v>6976</v>
      </c>
      <c r="G56" s="5">
        <v>1320</v>
      </c>
      <c r="H56" s="5">
        <v>393</v>
      </c>
      <c r="I56" s="5">
        <v>2285</v>
      </c>
      <c r="J56" s="7">
        <v>14049</v>
      </c>
      <c r="K56" s="5">
        <v>101367</v>
      </c>
      <c r="L56" s="5" t="s">
        <v>55</v>
      </c>
    </row>
    <row r="57" ht="14.25" customHeight="1">
      <c r="A57" s="5" t="s">
        <v>127</v>
      </c>
      <c r="B57" s="5" t="s">
        <v>19</v>
      </c>
      <c r="C57" s="6" t="s">
        <v>128</v>
      </c>
      <c r="D57" s="5" t="s">
        <v>25</v>
      </c>
      <c r="E57" s="5" t="s">
        <v>48</v>
      </c>
      <c r="F57" s="5">
        <v>14775</v>
      </c>
      <c r="G57" s="5">
        <v>1220</v>
      </c>
      <c r="H57" s="5">
        <v>640</v>
      </c>
      <c r="I57" s="5">
        <v>1547</v>
      </c>
      <c r="J57" s="7">
        <v>28527</v>
      </c>
      <c r="K57" s="5">
        <v>183660</v>
      </c>
      <c r="L57" s="5" t="s">
        <v>55</v>
      </c>
    </row>
    <row r="58" ht="14.25" customHeight="1">
      <c r="A58" s="5" t="s">
        <v>129</v>
      </c>
      <c r="B58" s="5" t="s">
        <v>19</v>
      </c>
      <c r="C58" s="6" t="s">
        <v>130</v>
      </c>
      <c r="D58" s="5" t="s">
        <v>30</v>
      </c>
      <c r="E58" s="5" t="s">
        <v>62</v>
      </c>
      <c r="F58" s="5">
        <v>12015</v>
      </c>
      <c r="G58" s="5">
        <v>1196</v>
      </c>
      <c r="H58" s="5">
        <v>998</v>
      </c>
      <c r="I58" s="5">
        <v>1848</v>
      </c>
      <c r="J58" s="7">
        <v>44739</v>
      </c>
      <c r="K58" s="5">
        <v>161750</v>
      </c>
      <c r="L58" s="5" t="s">
        <v>55</v>
      </c>
    </row>
    <row r="59" ht="14.25" customHeight="1">
      <c r="A59" s="5" t="s">
        <v>131</v>
      </c>
      <c r="B59" s="5" t="s">
        <v>23</v>
      </c>
      <c r="C59" s="6" t="s">
        <v>132</v>
      </c>
      <c r="D59" s="5" t="s">
        <v>38</v>
      </c>
      <c r="E59" s="5" t="s">
        <v>26</v>
      </c>
      <c r="F59" s="5">
        <v>5419</v>
      </c>
      <c r="G59" s="5">
        <v>1150</v>
      </c>
      <c r="H59" s="5">
        <v>656</v>
      </c>
      <c r="I59" s="5">
        <v>1990</v>
      </c>
      <c r="J59" s="7">
        <v>410</v>
      </c>
      <c r="K59" s="5">
        <v>158154</v>
      </c>
      <c r="L59" s="5" t="s">
        <v>27</v>
      </c>
    </row>
    <row r="60" ht="14.25" customHeight="1">
      <c r="A60" s="5" t="s">
        <v>133</v>
      </c>
      <c r="B60" s="5" t="s">
        <v>13</v>
      </c>
      <c r="C60" s="6" t="s">
        <v>134</v>
      </c>
      <c r="D60" s="5" t="s">
        <v>15</v>
      </c>
      <c r="E60" s="5" t="s">
        <v>42</v>
      </c>
      <c r="F60" s="5">
        <v>16430</v>
      </c>
      <c r="G60" s="5">
        <v>488</v>
      </c>
      <c r="H60" s="5">
        <v>514</v>
      </c>
      <c r="I60" s="5">
        <v>1436</v>
      </c>
      <c r="J60" s="7">
        <v>30059</v>
      </c>
      <c r="K60" s="5">
        <v>223305</v>
      </c>
      <c r="L60" s="5" t="s">
        <v>32</v>
      </c>
    </row>
    <row r="61" ht="14.25" customHeight="1">
      <c r="A61" s="5" t="s">
        <v>135</v>
      </c>
      <c r="B61" s="5" t="s">
        <v>23</v>
      </c>
      <c r="C61" s="6" t="s">
        <v>136</v>
      </c>
      <c r="D61" s="5" t="s">
        <v>25</v>
      </c>
      <c r="E61" s="5" t="s">
        <v>42</v>
      </c>
      <c r="F61" s="5">
        <v>9239</v>
      </c>
      <c r="G61" s="5">
        <v>1477</v>
      </c>
      <c r="H61" s="5">
        <v>631</v>
      </c>
      <c r="I61" s="5">
        <v>1556</v>
      </c>
      <c r="J61" s="7">
        <v>11580</v>
      </c>
      <c r="K61" s="5">
        <v>84738</v>
      </c>
      <c r="L61" s="5" t="s">
        <v>27</v>
      </c>
    </row>
    <row r="62" ht="14.25" customHeight="1">
      <c r="A62" s="5" t="s">
        <v>137</v>
      </c>
      <c r="B62" s="5" t="s">
        <v>13</v>
      </c>
      <c r="C62" s="6" t="s">
        <v>138</v>
      </c>
      <c r="D62" s="5" t="s">
        <v>38</v>
      </c>
      <c r="E62" s="5" t="s">
        <v>85</v>
      </c>
      <c r="F62" s="5">
        <v>16489</v>
      </c>
      <c r="G62" s="5">
        <v>395</v>
      </c>
      <c r="H62" s="5">
        <v>350</v>
      </c>
      <c r="I62" s="5">
        <v>2364</v>
      </c>
      <c r="J62" s="7">
        <v>43239</v>
      </c>
      <c r="K62" s="5">
        <v>73397</v>
      </c>
      <c r="L62" s="5" t="s">
        <v>55</v>
      </c>
    </row>
    <row r="63" ht="14.25" customHeight="1">
      <c r="A63" s="5" t="s">
        <v>139</v>
      </c>
      <c r="B63" s="5" t="s">
        <v>13</v>
      </c>
      <c r="C63" s="8">
        <v>45920</v>
      </c>
      <c r="D63" s="5" t="s">
        <v>15</v>
      </c>
      <c r="E63" s="5" t="s">
        <v>62</v>
      </c>
      <c r="F63" s="5">
        <v>18633</v>
      </c>
      <c r="G63" s="5">
        <v>797</v>
      </c>
      <c r="H63" s="5">
        <v>303</v>
      </c>
      <c r="I63" s="5">
        <v>659</v>
      </c>
      <c r="J63" s="7">
        <v>7</v>
      </c>
      <c r="K63" s="5">
        <v>122189</v>
      </c>
      <c r="L63" s="5" t="s">
        <v>21</v>
      </c>
    </row>
    <row r="64" ht="14.25" customHeight="1">
      <c r="A64" s="5" t="s">
        <v>140</v>
      </c>
      <c r="B64" s="5" t="s">
        <v>23</v>
      </c>
      <c r="C64" s="6" t="s">
        <v>91</v>
      </c>
      <c r="D64" s="5" t="s">
        <v>15</v>
      </c>
      <c r="E64" s="5" t="s">
        <v>16</v>
      </c>
      <c r="F64" s="5">
        <v>12357</v>
      </c>
      <c r="G64" s="5">
        <v>716</v>
      </c>
      <c r="H64" s="5">
        <v>599</v>
      </c>
      <c r="I64" s="5">
        <v>999</v>
      </c>
      <c r="J64" s="7">
        <v>89591</v>
      </c>
      <c r="K64" s="5">
        <v>116367</v>
      </c>
      <c r="L64" s="5" t="s">
        <v>17</v>
      </c>
    </row>
    <row r="65" ht="14.25" customHeight="1">
      <c r="A65" s="5" t="s">
        <v>141</v>
      </c>
      <c r="B65" s="5" t="s">
        <v>23</v>
      </c>
      <c r="C65" s="6" t="s">
        <v>142</v>
      </c>
      <c r="D65" s="5" t="s">
        <v>30</v>
      </c>
      <c r="E65" s="5" t="s">
        <v>35</v>
      </c>
      <c r="F65" s="5">
        <v>19154</v>
      </c>
      <c r="G65" s="5">
        <v>1064</v>
      </c>
      <c r="H65" s="5">
        <v>650</v>
      </c>
      <c r="I65" s="5">
        <v>747</v>
      </c>
      <c r="J65" s="7">
        <v>42667</v>
      </c>
      <c r="K65" s="5">
        <v>242332</v>
      </c>
      <c r="L65" s="5" t="s">
        <v>27</v>
      </c>
    </row>
    <row r="66" ht="14.25" customHeight="1">
      <c r="A66" s="5" t="s">
        <v>143</v>
      </c>
      <c r="B66" s="5" t="s">
        <v>13</v>
      </c>
      <c r="C66" s="6" t="s">
        <v>144</v>
      </c>
      <c r="D66" s="5" t="s">
        <v>25</v>
      </c>
      <c r="E66" s="5" t="s">
        <v>16</v>
      </c>
      <c r="F66" s="5">
        <v>6363</v>
      </c>
      <c r="G66" s="5">
        <v>1341</v>
      </c>
      <c r="H66" s="5">
        <v>222</v>
      </c>
      <c r="I66" s="5">
        <v>2712</v>
      </c>
      <c r="J66" s="7">
        <v>19987</v>
      </c>
      <c r="K66" s="5">
        <v>160585</v>
      </c>
      <c r="L66" s="5" t="s">
        <v>27</v>
      </c>
    </row>
    <row r="67" ht="14.25" customHeight="1">
      <c r="A67" s="5" t="s">
        <v>145</v>
      </c>
      <c r="B67" s="5" t="s">
        <v>46</v>
      </c>
      <c r="C67" s="6" t="s">
        <v>146</v>
      </c>
      <c r="D67" s="5" t="s">
        <v>25</v>
      </c>
      <c r="E67" s="5" t="s">
        <v>42</v>
      </c>
      <c r="F67" s="5">
        <v>12176</v>
      </c>
      <c r="G67" s="5">
        <v>1005</v>
      </c>
      <c r="H67" s="5">
        <v>862</v>
      </c>
      <c r="I67" s="5">
        <v>974</v>
      </c>
      <c r="J67" s="7">
        <v>2285</v>
      </c>
      <c r="K67" s="5">
        <v>116619</v>
      </c>
      <c r="L67" s="5" t="s">
        <v>32</v>
      </c>
    </row>
    <row r="68" ht="14.25" customHeight="1">
      <c r="A68" s="5" t="s">
        <v>147</v>
      </c>
      <c r="B68" s="5" t="s">
        <v>19</v>
      </c>
      <c r="C68" s="6" t="s">
        <v>148</v>
      </c>
      <c r="D68" s="5" t="s">
        <v>30</v>
      </c>
      <c r="E68" s="5" t="s">
        <v>42</v>
      </c>
      <c r="F68" s="5">
        <v>19461</v>
      </c>
      <c r="G68" s="5">
        <v>1382</v>
      </c>
      <c r="H68" s="5">
        <v>445</v>
      </c>
      <c r="I68" s="5">
        <v>1307</v>
      </c>
      <c r="J68" s="7">
        <v>84691</v>
      </c>
      <c r="K68" s="5">
        <v>151453</v>
      </c>
      <c r="L68" s="5" t="s">
        <v>32</v>
      </c>
    </row>
    <row r="69" ht="14.25" customHeight="1">
      <c r="A69" s="5" t="s">
        <v>149</v>
      </c>
      <c r="B69" s="5" t="s">
        <v>23</v>
      </c>
      <c r="C69" s="6" t="s">
        <v>150</v>
      </c>
      <c r="D69" s="5" t="s">
        <v>30</v>
      </c>
      <c r="E69" s="5" t="s">
        <v>20</v>
      </c>
      <c r="F69" s="5">
        <v>10427</v>
      </c>
      <c r="G69" s="5">
        <v>1014</v>
      </c>
      <c r="H69" s="5">
        <v>166</v>
      </c>
      <c r="I69" s="5">
        <v>1649</v>
      </c>
      <c r="J69" s="7">
        <v>15145</v>
      </c>
      <c r="K69" s="5">
        <v>59816</v>
      </c>
      <c r="L69" s="5" t="s">
        <v>27</v>
      </c>
    </row>
    <row r="70" ht="14.25" customHeight="1">
      <c r="A70" s="5" t="s">
        <v>151</v>
      </c>
      <c r="B70" s="5" t="s">
        <v>19</v>
      </c>
      <c r="C70" s="6" t="s">
        <v>152</v>
      </c>
      <c r="D70" s="5" t="s">
        <v>25</v>
      </c>
      <c r="E70" s="5" t="s">
        <v>42</v>
      </c>
      <c r="F70" s="5">
        <v>10580</v>
      </c>
      <c r="G70" s="5">
        <v>427</v>
      </c>
      <c r="H70" s="5">
        <v>790</v>
      </c>
      <c r="I70" s="5">
        <v>2814</v>
      </c>
      <c r="J70" s="7">
        <v>24916</v>
      </c>
      <c r="K70" s="5">
        <v>213312</v>
      </c>
      <c r="L70" s="5" t="s">
        <v>55</v>
      </c>
    </row>
    <row r="71" ht="14.25" customHeight="1">
      <c r="A71" s="5" t="s">
        <v>153</v>
      </c>
      <c r="B71" s="5" t="s">
        <v>46</v>
      </c>
      <c r="C71" s="6" t="s">
        <v>154</v>
      </c>
      <c r="D71" s="5" t="s">
        <v>25</v>
      </c>
      <c r="E71" s="5" t="s">
        <v>48</v>
      </c>
      <c r="F71" s="5">
        <v>6858</v>
      </c>
      <c r="G71" s="5">
        <v>415</v>
      </c>
      <c r="H71" s="5">
        <v>366</v>
      </c>
      <c r="I71" s="5">
        <v>2761</v>
      </c>
      <c r="J71" s="7">
        <v>2988</v>
      </c>
      <c r="K71" s="5">
        <v>177348</v>
      </c>
      <c r="L71" s="5" t="s">
        <v>17</v>
      </c>
    </row>
    <row r="72" ht="14.25" customHeight="1">
      <c r="A72" s="5" t="s">
        <v>155</v>
      </c>
      <c r="B72" s="5" t="s">
        <v>46</v>
      </c>
      <c r="C72" s="6" t="s">
        <v>156</v>
      </c>
      <c r="D72" s="5" t="s">
        <v>38</v>
      </c>
      <c r="E72" s="5" t="s">
        <v>31</v>
      </c>
      <c r="F72" s="5">
        <v>12040</v>
      </c>
      <c r="G72" s="5">
        <v>1147</v>
      </c>
      <c r="H72" s="5">
        <v>210</v>
      </c>
      <c r="I72" s="5">
        <v>885</v>
      </c>
      <c r="J72" s="7">
        <v>30360</v>
      </c>
      <c r="K72" s="5">
        <v>119530</v>
      </c>
      <c r="L72" s="5" t="s">
        <v>32</v>
      </c>
    </row>
    <row r="73" ht="14.25" customHeight="1">
      <c r="A73" s="5" t="s">
        <v>157</v>
      </c>
      <c r="B73" s="5" t="s">
        <v>46</v>
      </c>
      <c r="C73" s="6" t="s">
        <v>158</v>
      </c>
      <c r="D73" s="5" t="s">
        <v>38</v>
      </c>
      <c r="E73" s="5" t="s">
        <v>62</v>
      </c>
      <c r="F73" s="5">
        <v>24928</v>
      </c>
      <c r="G73" s="5">
        <v>214</v>
      </c>
      <c r="H73" s="5">
        <v>765</v>
      </c>
      <c r="I73" s="5">
        <v>1556</v>
      </c>
      <c r="J73" s="7">
        <v>5239</v>
      </c>
      <c r="K73" s="5">
        <v>194571</v>
      </c>
      <c r="L73" s="5" t="s">
        <v>55</v>
      </c>
    </row>
    <row r="74" ht="14.25" customHeight="1">
      <c r="A74" s="5" t="s">
        <v>159</v>
      </c>
      <c r="B74" s="5" t="s">
        <v>23</v>
      </c>
      <c r="C74" s="8">
        <v>45921</v>
      </c>
      <c r="D74" s="5" t="s">
        <v>30</v>
      </c>
      <c r="E74" s="5" t="s">
        <v>16</v>
      </c>
      <c r="F74" s="5">
        <v>23103</v>
      </c>
      <c r="G74" s="5">
        <v>1380</v>
      </c>
      <c r="H74" s="5">
        <v>191</v>
      </c>
      <c r="I74" s="5">
        <v>1547</v>
      </c>
      <c r="J74" s="7">
        <v>77798</v>
      </c>
      <c r="K74" s="5">
        <v>148856</v>
      </c>
      <c r="L74" s="5" t="s">
        <v>21</v>
      </c>
    </row>
    <row r="75" ht="14.25" customHeight="1">
      <c r="A75" s="5" t="s">
        <v>160</v>
      </c>
      <c r="B75" s="5" t="s">
        <v>46</v>
      </c>
      <c r="C75" s="6" t="s">
        <v>161</v>
      </c>
      <c r="D75" s="5" t="s">
        <v>38</v>
      </c>
      <c r="E75" s="5" t="s">
        <v>31</v>
      </c>
      <c r="F75" s="5">
        <v>21198</v>
      </c>
      <c r="G75" s="5">
        <v>1484</v>
      </c>
      <c r="H75" s="5">
        <v>174</v>
      </c>
      <c r="I75" s="5">
        <v>1293</v>
      </c>
      <c r="J75" s="7">
        <v>16330</v>
      </c>
      <c r="K75" s="5">
        <v>111635</v>
      </c>
      <c r="L75" s="5" t="s">
        <v>32</v>
      </c>
    </row>
    <row r="76" ht="14.25" customHeight="1">
      <c r="A76" s="5" t="s">
        <v>162</v>
      </c>
      <c r="B76" s="5" t="s">
        <v>23</v>
      </c>
      <c r="C76" s="6" t="s">
        <v>163</v>
      </c>
      <c r="D76" s="5" t="s">
        <v>15</v>
      </c>
      <c r="E76" s="5" t="s">
        <v>26</v>
      </c>
      <c r="F76" s="5">
        <v>21758</v>
      </c>
      <c r="G76" s="5">
        <v>1380</v>
      </c>
      <c r="H76" s="5">
        <v>188</v>
      </c>
      <c r="I76" s="5">
        <v>1735</v>
      </c>
      <c r="J76" s="7">
        <v>20998</v>
      </c>
      <c r="K76" s="5">
        <v>147803</v>
      </c>
      <c r="L76" s="5" t="s">
        <v>55</v>
      </c>
    </row>
    <row r="77" ht="14.25" customHeight="1">
      <c r="A77" s="5" t="s">
        <v>164</v>
      </c>
      <c r="B77" s="5" t="s">
        <v>46</v>
      </c>
      <c r="C77" s="6" t="s">
        <v>165</v>
      </c>
      <c r="D77" s="5" t="s">
        <v>38</v>
      </c>
      <c r="E77" s="5" t="s">
        <v>35</v>
      </c>
      <c r="F77" s="5">
        <v>17254</v>
      </c>
      <c r="G77" s="5">
        <v>246</v>
      </c>
      <c r="H77" s="5">
        <v>952</v>
      </c>
      <c r="I77" s="5">
        <v>871</v>
      </c>
      <c r="J77" s="7">
        <v>14957</v>
      </c>
      <c r="K77" s="5">
        <v>75946</v>
      </c>
      <c r="L77" s="5" t="s">
        <v>55</v>
      </c>
    </row>
    <row r="78" ht="14.25" customHeight="1">
      <c r="A78" s="5" t="s">
        <v>166</v>
      </c>
      <c r="B78" s="5" t="s">
        <v>19</v>
      </c>
      <c r="C78" s="6" t="s">
        <v>83</v>
      </c>
      <c r="D78" s="5" t="s">
        <v>38</v>
      </c>
      <c r="E78" s="5" t="s">
        <v>48</v>
      </c>
      <c r="F78" s="5">
        <v>13470</v>
      </c>
      <c r="G78" s="5">
        <v>523</v>
      </c>
      <c r="H78" s="5">
        <v>280</v>
      </c>
      <c r="I78" s="5">
        <v>2682</v>
      </c>
      <c r="J78" s="7">
        <v>8538</v>
      </c>
      <c r="K78" s="5">
        <v>95204</v>
      </c>
      <c r="L78" s="5" t="s">
        <v>17</v>
      </c>
    </row>
    <row r="79" ht="14.25" customHeight="1">
      <c r="A79" s="5" t="s">
        <v>167</v>
      </c>
      <c r="B79" s="5" t="s">
        <v>19</v>
      </c>
      <c r="C79" s="6" t="s">
        <v>126</v>
      </c>
      <c r="D79" s="5" t="s">
        <v>15</v>
      </c>
      <c r="E79" s="5" t="s">
        <v>39</v>
      </c>
      <c r="F79" s="5">
        <v>3252</v>
      </c>
      <c r="G79" s="5">
        <v>1043</v>
      </c>
      <c r="H79" s="5">
        <v>647</v>
      </c>
      <c r="I79" s="5">
        <v>1545</v>
      </c>
      <c r="J79" s="7">
        <v>18859</v>
      </c>
      <c r="K79" s="5">
        <v>222958</v>
      </c>
      <c r="L79" s="5" t="s">
        <v>17</v>
      </c>
    </row>
    <row r="80" ht="14.25" customHeight="1">
      <c r="A80" s="5" t="s">
        <v>168</v>
      </c>
      <c r="B80" s="5" t="s">
        <v>13</v>
      </c>
      <c r="C80" s="8">
        <v>45922</v>
      </c>
      <c r="D80" s="5" t="s">
        <v>30</v>
      </c>
      <c r="E80" s="5" t="s">
        <v>169</v>
      </c>
      <c r="F80" s="5">
        <v>8996</v>
      </c>
      <c r="G80" s="5">
        <v>329</v>
      </c>
      <c r="H80" s="5">
        <v>378</v>
      </c>
      <c r="I80" s="5">
        <v>2384</v>
      </c>
      <c r="J80" s="7">
        <v>39404</v>
      </c>
      <c r="K80" s="5">
        <v>242724</v>
      </c>
      <c r="L80" s="5" t="s">
        <v>21</v>
      </c>
    </row>
    <row r="81" ht="14.25" customHeight="1">
      <c r="A81" s="5" t="s">
        <v>170</v>
      </c>
      <c r="B81" s="5" t="s">
        <v>19</v>
      </c>
      <c r="C81" s="6" t="s">
        <v>120</v>
      </c>
      <c r="D81" s="5" t="s">
        <v>15</v>
      </c>
      <c r="E81" s="5" t="s">
        <v>16</v>
      </c>
      <c r="F81" s="5">
        <v>14173</v>
      </c>
      <c r="G81" s="5">
        <v>294</v>
      </c>
      <c r="H81" s="5">
        <v>257</v>
      </c>
      <c r="I81" s="5">
        <v>1288</v>
      </c>
      <c r="J81" s="7">
        <v>39466</v>
      </c>
      <c r="K81" s="5">
        <v>55563</v>
      </c>
      <c r="L81" s="5" t="s">
        <v>55</v>
      </c>
    </row>
    <row r="82" ht="14.25" customHeight="1">
      <c r="A82" s="5" t="s">
        <v>171</v>
      </c>
      <c r="B82" s="5" t="s">
        <v>13</v>
      </c>
      <c r="C82" s="6" t="s">
        <v>172</v>
      </c>
      <c r="D82" s="5" t="s">
        <v>38</v>
      </c>
      <c r="E82" s="5" t="s">
        <v>31</v>
      </c>
      <c r="F82" s="5">
        <v>6673</v>
      </c>
      <c r="G82" s="5">
        <v>826</v>
      </c>
      <c r="H82" s="5">
        <v>321</v>
      </c>
      <c r="I82" s="5">
        <v>577</v>
      </c>
      <c r="J82" s="7">
        <v>19262</v>
      </c>
      <c r="K82" s="5">
        <v>132324</v>
      </c>
      <c r="L82" s="5" t="s">
        <v>55</v>
      </c>
    </row>
    <row r="83" ht="14.25" customHeight="1">
      <c r="A83" s="5" t="s">
        <v>173</v>
      </c>
      <c r="B83" s="5" t="s">
        <v>19</v>
      </c>
      <c r="C83" s="6" t="s">
        <v>174</v>
      </c>
      <c r="D83" s="5" t="s">
        <v>30</v>
      </c>
      <c r="E83" s="5" t="s">
        <v>39</v>
      </c>
      <c r="F83" s="5">
        <v>22914</v>
      </c>
      <c r="G83" s="5">
        <v>954</v>
      </c>
      <c r="H83" s="5">
        <v>584</v>
      </c>
      <c r="I83" s="5">
        <v>1519</v>
      </c>
      <c r="J83" s="7">
        <v>13637</v>
      </c>
      <c r="K83" s="5">
        <v>49847</v>
      </c>
      <c r="L83" s="5" t="s">
        <v>17</v>
      </c>
    </row>
    <row r="84" ht="14.25" customHeight="1">
      <c r="A84" s="5" t="s">
        <v>175</v>
      </c>
      <c r="B84" s="5" t="s">
        <v>23</v>
      </c>
      <c r="C84" s="6" t="s">
        <v>176</v>
      </c>
      <c r="D84" s="5" t="s">
        <v>38</v>
      </c>
      <c r="E84" s="5" t="s">
        <v>35</v>
      </c>
      <c r="F84" s="5">
        <v>17781</v>
      </c>
      <c r="G84" s="5">
        <v>993</v>
      </c>
      <c r="H84" s="5">
        <v>627</v>
      </c>
      <c r="I84" s="5">
        <v>2187</v>
      </c>
      <c r="J84" s="7">
        <v>9609</v>
      </c>
      <c r="K84" s="5">
        <v>66155</v>
      </c>
      <c r="L84" s="5" t="s">
        <v>32</v>
      </c>
    </row>
    <row r="85" ht="14.25" customHeight="1">
      <c r="A85" s="5" t="s">
        <v>177</v>
      </c>
      <c r="B85" s="5" t="s">
        <v>19</v>
      </c>
      <c r="C85" s="6" t="s">
        <v>178</v>
      </c>
      <c r="D85" s="5" t="s">
        <v>15</v>
      </c>
      <c r="E85" s="5" t="s">
        <v>20</v>
      </c>
      <c r="F85" s="5">
        <v>15051</v>
      </c>
      <c r="G85" s="5">
        <v>268</v>
      </c>
      <c r="H85" s="5">
        <v>251</v>
      </c>
      <c r="I85" s="5">
        <v>783</v>
      </c>
      <c r="J85" s="7">
        <v>34154</v>
      </c>
      <c r="K85" s="5">
        <v>119671</v>
      </c>
      <c r="L85" s="5" t="s">
        <v>32</v>
      </c>
    </row>
    <row r="86" ht="14.25" customHeight="1">
      <c r="A86" s="5" t="s">
        <v>179</v>
      </c>
      <c r="B86" s="5" t="s">
        <v>13</v>
      </c>
      <c r="C86" s="6" t="s">
        <v>97</v>
      </c>
      <c r="D86" s="5" t="s">
        <v>15</v>
      </c>
      <c r="E86" s="5" t="s">
        <v>39</v>
      </c>
      <c r="F86" s="5">
        <v>8881</v>
      </c>
      <c r="G86" s="5">
        <v>210</v>
      </c>
      <c r="H86" s="5">
        <v>673</v>
      </c>
      <c r="I86" s="5">
        <v>1565</v>
      </c>
      <c r="J86" s="7">
        <v>24847</v>
      </c>
      <c r="K86" s="5">
        <v>156891</v>
      </c>
      <c r="L86" s="5" t="s">
        <v>27</v>
      </c>
    </row>
    <row r="87" ht="14.25" customHeight="1">
      <c r="A87" s="5" t="s">
        <v>180</v>
      </c>
      <c r="B87" s="5" t="s">
        <v>13</v>
      </c>
      <c r="C87" s="6" t="s">
        <v>181</v>
      </c>
      <c r="D87" s="5" t="s">
        <v>38</v>
      </c>
      <c r="E87" s="5" t="s">
        <v>48</v>
      </c>
      <c r="F87" s="5">
        <v>8949</v>
      </c>
      <c r="G87" s="5">
        <v>1477</v>
      </c>
      <c r="H87" s="5">
        <v>424</v>
      </c>
      <c r="I87" s="5">
        <v>1030</v>
      </c>
      <c r="J87" s="7">
        <v>58052</v>
      </c>
      <c r="K87" s="5">
        <v>123310</v>
      </c>
      <c r="L87" s="5" t="s">
        <v>17</v>
      </c>
    </row>
    <row r="88" ht="14.25" customHeight="1">
      <c r="A88" s="5" t="s">
        <v>182</v>
      </c>
      <c r="B88" s="5" t="s">
        <v>46</v>
      </c>
      <c r="C88" s="6" t="s">
        <v>183</v>
      </c>
      <c r="D88" s="5" t="s">
        <v>25</v>
      </c>
      <c r="E88" s="5" t="s">
        <v>48</v>
      </c>
      <c r="F88" s="5">
        <v>11521</v>
      </c>
      <c r="G88" s="5">
        <v>1071</v>
      </c>
      <c r="H88" s="5">
        <v>762</v>
      </c>
      <c r="I88" s="5">
        <v>2539</v>
      </c>
      <c r="J88" s="7">
        <v>12701</v>
      </c>
      <c r="K88" s="5">
        <v>238350</v>
      </c>
      <c r="L88" s="5" t="s">
        <v>27</v>
      </c>
    </row>
    <row r="89" ht="14.25" customHeight="1">
      <c r="A89" s="5" t="s">
        <v>184</v>
      </c>
      <c r="B89" s="5" t="s">
        <v>23</v>
      </c>
      <c r="C89" s="6" t="s">
        <v>185</v>
      </c>
      <c r="D89" s="5" t="s">
        <v>25</v>
      </c>
      <c r="E89" s="5" t="s">
        <v>20</v>
      </c>
      <c r="F89" s="5">
        <v>24625</v>
      </c>
      <c r="G89" s="5">
        <v>749</v>
      </c>
      <c r="H89" s="5">
        <v>193</v>
      </c>
      <c r="I89" s="5">
        <v>1340</v>
      </c>
      <c r="J89" s="7">
        <v>4890</v>
      </c>
      <c r="K89" s="5">
        <v>189381</v>
      </c>
      <c r="L89" s="5" t="s">
        <v>17</v>
      </c>
    </row>
    <row r="90" ht="14.25" customHeight="1">
      <c r="A90" s="5" t="s">
        <v>186</v>
      </c>
      <c r="B90" s="5" t="s">
        <v>19</v>
      </c>
      <c r="C90" s="8">
        <v>45923</v>
      </c>
      <c r="D90" s="5" t="s">
        <v>15</v>
      </c>
      <c r="E90" s="5" t="s">
        <v>169</v>
      </c>
      <c r="F90" s="5">
        <v>10017</v>
      </c>
      <c r="G90" s="5">
        <v>1357</v>
      </c>
      <c r="H90" s="5">
        <v>966</v>
      </c>
      <c r="I90" s="5">
        <v>2871</v>
      </c>
      <c r="J90" s="7">
        <v>14800</v>
      </c>
      <c r="K90" s="5">
        <v>171691</v>
      </c>
      <c r="L90" s="5" t="s">
        <v>21</v>
      </c>
    </row>
    <row r="91" ht="14.25" customHeight="1">
      <c r="A91" s="5" t="s">
        <v>187</v>
      </c>
      <c r="B91" s="5" t="s">
        <v>46</v>
      </c>
      <c r="C91" s="6" t="s">
        <v>188</v>
      </c>
      <c r="D91" s="5" t="s">
        <v>15</v>
      </c>
      <c r="E91" s="5" t="s">
        <v>62</v>
      </c>
      <c r="F91" s="5">
        <v>8941</v>
      </c>
      <c r="G91" s="5">
        <v>911</v>
      </c>
      <c r="H91" s="5">
        <v>166</v>
      </c>
      <c r="I91" s="5">
        <v>1217</v>
      </c>
      <c r="J91" s="7">
        <v>68817</v>
      </c>
      <c r="K91" s="5">
        <v>221180</v>
      </c>
      <c r="L91" s="5" t="s">
        <v>55</v>
      </c>
    </row>
    <row r="92" ht="14.25" customHeight="1">
      <c r="A92" s="5" t="s">
        <v>189</v>
      </c>
      <c r="B92" s="5" t="s">
        <v>19</v>
      </c>
      <c r="C92" s="8">
        <v>45924</v>
      </c>
      <c r="D92" s="5" t="s">
        <v>25</v>
      </c>
      <c r="E92" s="5" t="s">
        <v>39</v>
      </c>
      <c r="F92" s="5">
        <v>12209</v>
      </c>
      <c r="G92" s="5">
        <v>222</v>
      </c>
      <c r="H92" s="5">
        <v>479</v>
      </c>
      <c r="I92" s="5">
        <v>2748</v>
      </c>
      <c r="J92" s="7">
        <v>24615</v>
      </c>
      <c r="K92" s="5">
        <v>74707</v>
      </c>
      <c r="L92" s="5" t="s">
        <v>21</v>
      </c>
    </row>
    <row r="93" ht="14.25" customHeight="1">
      <c r="A93" s="5" t="s">
        <v>190</v>
      </c>
      <c r="B93" s="5" t="s">
        <v>19</v>
      </c>
      <c r="C93" s="6" t="s">
        <v>130</v>
      </c>
      <c r="D93" s="5" t="s">
        <v>25</v>
      </c>
      <c r="E93" s="5" t="s">
        <v>20</v>
      </c>
      <c r="F93" s="5">
        <v>19715</v>
      </c>
      <c r="G93" s="5">
        <v>1014</v>
      </c>
      <c r="H93" s="5">
        <v>718</v>
      </c>
      <c r="I93" s="5">
        <v>1185</v>
      </c>
      <c r="J93" s="7">
        <v>37625</v>
      </c>
      <c r="K93" s="5">
        <v>191409</v>
      </c>
      <c r="L93" s="5" t="s">
        <v>17</v>
      </c>
    </row>
    <row r="94" ht="14.25" customHeight="1">
      <c r="A94" s="5" t="s">
        <v>191</v>
      </c>
      <c r="B94" s="5" t="s">
        <v>46</v>
      </c>
      <c r="C94" s="6" t="s">
        <v>192</v>
      </c>
      <c r="D94" s="5" t="s">
        <v>38</v>
      </c>
      <c r="E94" s="5" t="s">
        <v>48</v>
      </c>
      <c r="F94" s="5">
        <v>22645</v>
      </c>
      <c r="G94" s="5">
        <v>545</v>
      </c>
      <c r="H94" s="5">
        <v>972</v>
      </c>
      <c r="I94" s="5">
        <v>321</v>
      </c>
      <c r="J94" s="7">
        <v>8396</v>
      </c>
      <c r="K94" s="5">
        <v>121537</v>
      </c>
      <c r="L94" s="5" t="s">
        <v>55</v>
      </c>
    </row>
    <row r="95" ht="14.25" customHeight="1">
      <c r="A95" s="5" t="s">
        <v>193</v>
      </c>
      <c r="B95" s="5" t="s">
        <v>46</v>
      </c>
      <c r="C95" s="6" t="s">
        <v>165</v>
      </c>
      <c r="D95" s="5" t="s">
        <v>38</v>
      </c>
      <c r="E95" s="5" t="s">
        <v>48</v>
      </c>
      <c r="F95" s="5">
        <v>11550</v>
      </c>
      <c r="G95" s="5">
        <v>501</v>
      </c>
      <c r="H95" s="5">
        <v>646</v>
      </c>
      <c r="I95" s="5">
        <v>773</v>
      </c>
      <c r="J95" s="7">
        <v>17841</v>
      </c>
      <c r="K95" s="5">
        <v>237576</v>
      </c>
      <c r="L95" s="5" t="s">
        <v>32</v>
      </c>
    </row>
    <row r="96" ht="14.25" customHeight="1">
      <c r="A96" s="5" t="s">
        <v>194</v>
      </c>
      <c r="B96" s="5" t="s">
        <v>46</v>
      </c>
      <c r="C96" s="6" t="s">
        <v>195</v>
      </c>
      <c r="D96" s="5" t="s">
        <v>25</v>
      </c>
      <c r="E96" s="5" t="s">
        <v>31</v>
      </c>
      <c r="F96" s="5">
        <v>23499</v>
      </c>
      <c r="G96" s="5">
        <v>562</v>
      </c>
      <c r="H96" s="5">
        <v>964</v>
      </c>
      <c r="I96" s="5">
        <v>2557</v>
      </c>
      <c r="J96" s="7">
        <v>56890</v>
      </c>
      <c r="K96" s="5">
        <v>218686</v>
      </c>
      <c r="L96" s="5" t="s">
        <v>32</v>
      </c>
    </row>
    <row r="97" ht="14.25" customHeight="1">
      <c r="A97" s="5" t="s">
        <v>196</v>
      </c>
      <c r="B97" s="5" t="s">
        <v>46</v>
      </c>
      <c r="C97" s="6" t="s">
        <v>197</v>
      </c>
      <c r="D97" s="5" t="s">
        <v>38</v>
      </c>
      <c r="E97" s="5" t="s">
        <v>42</v>
      </c>
      <c r="F97" s="5">
        <v>6637</v>
      </c>
      <c r="G97" s="5">
        <v>595</v>
      </c>
      <c r="H97" s="5">
        <v>161</v>
      </c>
      <c r="I97" s="5">
        <v>2653</v>
      </c>
      <c r="J97" s="7">
        <v>19334</v>
      </c>
      <c r="K97" s="5">
        <v>131155</v>
      </c>
      <c r="L97" s="5" t="s">
        <v>27</v>
      </c>
    </row>
    <row r="98" ht="14.25" customHeight="1">
      <c r="A98" s="5" t="s">
        <v>198</v>
      </c>
      <c r="B98" s="5" t="s">
        <v>46</v>
      </c>
      <c r="C98" s="6" t="s">
        <v>199</v>
      </c>
      <c r="D98" s="5" t="s">
        <v>38</v>
      </c>
      <c r="E98" s="5" t="s">
        <v>169</v>
      </c>
      <c r="F98" s="5">
        <v>6854</v>
      </c>
      <c r="G98" s="5">
        <v>417</v>
      </c>
      <c r="H98" s="5">
        <v>467</v>
      </c>
      <c r="I98" s="5">
        <v>1003</v>
      </c>
      <c r="J98" s="7">
        <v>61333</v>
      </c>
      <c r="K98" s="5">
        <v>40281</v>
      </c>
      <c r="L98" s="5" t="s">
        <v>17</v>
      </c>
    </row>
    <row r="99" ht="14.25" customHeight="1">
      <c r="A99" s="5" t="s">
        <v>200</v>
      </c>
      <c r="B99" s="5" t="s">
        <v>19</v>
      </c>
      <c r="C99" s="6" t="s">
        <v>201</v>
      </c>
      <c r="D99" s="5" t="s">
        <v>30</v>
      </c>
      <c r="E99" s="5" t="s">
        <v>39</v>
      </c>
      <c r="F99" s="5">
        <v>21561</v>
      </c>
      <c r="G99" s="5">
        <v>340</v>
      </c>
      <c r="H99" s="5">
        <v>741</v>
      </c>
      <c r="I99" s="5">
        <v>986</v>
      </c>
      <c r="J99" s="7">
        <v>24826</v>
      </c>
      <c r="K99" s="5">
        <v>198492</v>
      </c>
      <c r="L99" s="5" t="s">
        <v>17</v>
      </c>
    </row>
    <row r="100" ht="14.25" customHeight="1">
      <c r="A100" s="5" t="s">
        <v>202</v>
      </c>
      <c r="B100" s="5" t="s">
        <v>46</v>
      </c>
      <c r="C100" s="6" t="s">
        <v>203</v>
      </c>
      <c r="D100" s="5" t="s">
        <v>38</v>
      </c>
      <c r="E100" s="5" t="s">
        <v>39</v>
      </c>
      <c r="F100" s="5">
        <v>12320</v>
      </c>
      <c r="G100" s="5">
        <v>1157</v>
      </c>
      <c r="H100" s="5">
        <v>365</v>
      </c>
      <c r="I100" s="5">
        <v>584</v>
      </c>
      <c r="J100" s="7">
        <v>66634</v>
      </c>
      <c r="K100" s="5">
        <v>210102</v>
      </c>
      <c r="L100" s="5" t="s">
        <v>32</v>
      </c>
    </row>
    <row r="101" ht="14.25" customHeight="1">
      <c r="A101" s="5" t="s">
        <v>204</v>
      </c>
      <c r="B101" s="5" t="s">
        <v>23</v>
      </c>
      <c r="C101" s="8">
        <v>45925</v>
      </c>
      <c r="D101" s="5" t="s">
        <v>15</v>
      </c>
      <c r="E101" s="5" t="s">
        <v>35</v>
      </c>
      <c r="F101" s="5">
        <v>20564</v>
      </c>
      <c r="G101" s="5">
        <v>1433</v>
      </c>
      <c r="H101" s="5">
        <v>488</v>
      </c>
      <c r="I101" s="5">
        <v>1015</v>
      </c>
      <c r="J101" s="7">
        <v>24333</v>
      </c>
      <c r="K101" s="5">
        <v>172130</v>
      </c>
      <c r="L101" s="5" t="s">
        <v>21</v>
      </c>
    </row>
    <row r="102" ht="14.25" customHeight="1">
      <c r="A102" s="5" t="s">
        <v>205</v>
      </c>
      <c r="B102" s="5" t="s">
        <v>13</v>
      </c>
      <c r="C102" s="6" t="s">
        <v>206</v>
      </c>
      <c r="D102" s="5" t="s">
        <v>38</v>
      </c>
      <c r="E102" s="5" t="s">
        <v>20</v>
      </c>
      <c r="F102" s="5">
        <v>6892</v>
      </c>
      <c r="G102" s="5">
        <v>1184</v>
      </c>
      <c r="H102" s="5">
        <v>925</v>
      </c>
      <c r="I102" s="5">
        <v>1062</v>
      </c>
      <c r="J102" s="7">
        <v>75008</v>
      </c>
      <c r="K102" s="5">
        <v>116260</v>
      </c>
      <c r="L102" s="5" t="s">
        <v>55</v>
      </c>
    </row>
    <row r="103" ht="14.25" customHeight="1">
      <c r="A103" s="5" t="s">
        <v>207</v>
      </c>
      <c r="B103" s="5" t="s">
        <v>46</v>
      </c>
      <c r="C103" s="8">
        <v>45926</v>
      </c>
      <c r="D103" s="5" t="s">
        <v>38</v>
      </c>
      <c r="E103" s="5" t="s">
        <v>35</v>
      </c>
      <c r="F103" s="5">
        <v>9043</v>
      </c>
      <c r="G103" s="5">
        <v>1192</v>
      </c>
      <c r="H103" s="5">
        <v>810</v>
      </c>
      <c r="I103" s="5">
        <v>1550</v>
      </c>
      <c r="J103" s="7">
        <v>5221</v>
      </c>
      <c r="K103" s="5">
        <v>199476</v>
      </c>
      <c r="L103" s="5" t="s">
        <v>21</v>
      </c>
    </row>
    <row r="104" ht="14.25" customHeight="1">
      <c r="A104" s="5" t="s">
        <v>208</v>
      </c>
      <c r="B104" s="5" t="s">
        <v>46</v>
      </c>
      <c r="C104" s="8">
        <v>45927</v>
      </c>
      <c r="D104" s="5" t="s">
        <v>25</v>
      </c>
      <c r="E104" s="5" t="s">
        <v>20</v>
      </c>
      <c r="F104" s="5">
        <v>18521</v>
      </c>
      <c r="G104" s="5">
        <v>1027</v>
      </c>
      <c r="H104" s="5">
        <v>230</v>
      </c>
      <c r="I104" s="5">
        <v>1247</v>
      </c>
      <c r="J104" s="7">
        <v>39588</v>
      </c>
      <c r="K104" s="5">
        <v>200928</v>
      </c>
      <c r="L104" s="5" t="s">
        <v>21</v>
      </c>
    </row>
    <row r="105" ht="14.25" customHeight="1">
      <c r="A105" s="5" t="s">
        <v>209</v>
      </c>
      <c r="B105" s="5" t="s">
        <v>19</v>
      </c>
      <c r="C105" s="6" t="s">
        <v>210</v>
      </c>
      <c r="D105" s="5" t="s">
        <v>15</v>
      </c>
      <c r="E105" s="5" t="s">
        <v>26</v>
      </c>
      <c r="F105" s="5">
        <v>24711</v>
      </c>
      <c r="G105" s="5">
        <v>882</v>
      </c>
      <c r="H105" s="5">
        <v>876</v>
      </c>
      <c r="I105" s="5">
        <v>2728</v>
      </c>
      <c r="J105" s="7">
        <v>32015</v>
      </c>
      <c r="K105" s="5">
        <v>180272</v>
      </c>
      <c r="L105" s="5" t="s">
        <v>32</v>
      </c>
    </row>
    <row r="106" ht="14.25" customHeight="1">
      <c r="A106" s="5" t="s">
        <v>211</v>
      </c>
      <c r="B106" s="5" t="s">
        <v>46</v>
      </c>
      <c r="C106" s="6" t="s">
        <v>212</v>
      </c>
      <c r="D106" s="5" t="s">
        <v>38</v>
      </c>
      <c r="E106" s="5" t="s">
        <v>48</v>
      </c>
      <c r="F106" s="5">
        <v>21856</v>
      </c>
      <c r="G106" s="5">
        <v>1203</v>
      </c>
      <c r="H106" s="5">
        <v>634</v>
      </c>
      <c r="I106" s="5">
        <v>2807</v>
      </c>
      <c r="J106" s="7">
        <v>3647</v>
      </c>
      <c r="K106" s="5">
        <v>104178</v>
      </c>
      <c r="L106" s="5" t="s">
        <v>32</v>
      </c>
    </row>
    <row r="107" ht="14.25" customHeight="1">
      <c r="A107" s="5" t="s">
        <v>213</v>
      </c>
      <c r="B107" s="5" t="s">
        <v>46</v>
      </c>
      <c r="C107" s="6" t="s">
        <v>214</v>
      </c>
      <c r="D107" s="5" t="s">
        <v>38</v>
      </c>
      <c r="E107" s="5" t="s">
        <v>42</v>
      </c>
      <c r="F107" s="5">
        <v>23833</v>
      </c>
      <c r="G107" s="5">
        <v>555</v>
      </c>
      <c r="H107" s="5">
        <v>523</v>
      </c>
      <c r="I107" s="5">
        <v>1330</v>
      </c>
      <c r="J107" s="7">
        <v>69141</v>
      </c>
      <c r="K107" s="5">
        <v>73997</v>
      </c>
      <c r="L107" s="5" t="s">
        <v>32</v>
      </c>
    </row>
    <row r="108" ht="14.25" customHeight="1">
      <c r="A108" s="5" t="s">
        <v>215</v>
      </c>
      <c r="B108" s="5" t="s">
        <v>46</v>
      </c>
      <c r="C108" s="6" t="s">
        <v>216</v>
      </c>
      <c r="D108" s="5" t="s">
        <v>30</v>
      </c>
      <c r="E108" s="5" t="s">
        <v>31</v>
      </c>
      <c r="F108" s="5">
        <v>21216</v>
      </c>
      <c r="G108" s="5">
        <v>1207</v>
      </c>
      <c r="H108" s="5">
        <v>859</v>
      </c>
      <c r="I108" s="5">
        <v>328</v>
      </c>
      <c r="J108" s="7">
        <v>91296</v>
      </c>
      <c r="K108" s="5">
        <v>196683</v>
      </c>
      <c r="L108" s="5" t="s">
        <v>27</v>
      </c>
    </row>
    <row r="109" ht="14.25" customHeight="1">
      <c r="A109" s="5" t="s">
        <v>217</v>
      </c>
      <c r="B109" s="5" t="s">
        <v>19</v>
      </c>
      <c r="C109" s="8">
        <v>45928</v>
      </c>
      <c r="D109" s="5" t="s">
        <v>38</v>
      </c>
      <c r="E109" s="5" t="s">
        <v>42</v>
      </c>
      <c r="F109" s="5">
        <v>21963</v>
      </c>
      <c r="G109" s="5">
        <v>1356</v>
      </c>
      <c r="H109" s="5">
        <v>349</v>
      </c>
      <c r="I109" s="5">
        <v>1206</v>
      </c>
      <c r="J109" s="7">
        <v>51755</v>
      </c>
      <c r="K109" s="5">
        <v>159273</v>
      </c>
      <c r="L109" s="5" t="s">
        <v>21</v>
      </c>
    </row>
    <row r="110" ht="14.25" customHeight="1">
      <c r="A110" s="5" t="s">
        <v>218</v>
      </c>
      <c r="B110" s="5" t="s">
        <v>46</v>
      </c>
      <c r="C110" s="6" t="s">
        <v>219</v>
      </c>
      <c r="D110" s="5" t="s">
        <v>38</v>
      </c>
      <c r="E110" s="5" t="s">
        <v>42</v>
      </c>
      <c r="F110" s="5">
        <v>24355</v>
      </c>
      <c r="G110" s="5">
        <v>1087</v>
      </c>
      <c r="H110" s="5">
        <v>686</v>
      </c>
      <c r="I110" s="5">
        <v>2426</v>
      </c>
      <c r="J110" s="7">
        <v>24963</v>
      </c>
      <c r="K110" s="5">
        <v>212307</v>
      </c>
      <c r="L110" s="5" t="s">
        <v>17</v>
      </c>
    </row>
    <row r="111" ht="14.25" customHeight="1">
      <c r="A111" s="5" t="s">
        <v>220</v>
      </c>
      <c r="B111" s="5" t="s">
        <v>13</v>
      </c>
      <c r="C111" s="6" t="s">
        <v>221</v>
      </c>
      <c r="D111" s="5" t="s">
        <v>30</v>
      </c>
      <c r="E111" s="5" t="s">
        <v>42</v>
      </c>
      <c r="F111" s="5">
        <v>6164</v>
      </c>
      <c r="G111" s="5">
        <v>326</v>
      </c>
      <c r="H111" s="5">
        <v>615</v>
      </c>
      <c r="I111" s="5">
        <v>2806</v>
      </c>
      <c r="J111" s="7">
        <v>38579</v>
      </c>
      <c r="K111" s="5">
        <v>206129</v>
      </c>
      <c r="L111" s="5" t="s">
        <v>55</v>
      </c>
    </row>
    <row r="112" ht="14.25" customHeight="1">
      <c r="A112" s="5" t="s">
        <v>222</v>
      </c>
      <c r="B112" s="5" t="s">
        <v>19</v>
      </c>
      <c r="C112" s="6" t="s">
        <v>223</v>
      </c>
      <c r="D112" s="5" t="s">
        <v>25</v>
      </c>
      <c r="E112" s="5" t="s">
        <v>35</v>
      </c>
      <c r="F112" s="5">
        <v>9941</v>
      </c>
      <c r="G112" s="5">
        <v>1329</v>
      </c>
      <c r="H112" s="5">
        <v>238</v>
      </c>
      <c r="I112" s="5">
        <v>869</v>
      </c>
      <c r="J112" s="7">
        <v>40281</v>
      </c>
      <c r="K112" s="5">
        <v>172311</v>
      </c>
      <c r="L112" s="5" t="s">
        <v>27</v>
      </c>
    </row>
    <row r="113" ht="14.25" customHeight="1">
      <c r="A113" s="5" t="s">
        <v>224</v>
      </c>
      <c r="B113" s="5" t="s">
        <v>13</v>
      </c>
      <c r="C113" s="6" t="s">
        <v>225</v>
      </c>
      <c r="D113" s="5" t="s">
        <v>38</v>
      </c>
      <c r="E113" s="5" t="s">
        <v>20</v>
      </c>
      <c r="F113" s="5">
        <v>16388</v>
      </c>
      <c r="G113" s="5">
        <v>1208</v>
      </c>
      <c r="H113" s="5">
        <v>417</v>
      </c>
      <c r="I113" s="5">
        <v>2306</v>
      </c>
      <c r="J113" s="7">
        <v>16865</v>
      </c>
      <c r="K113" s="5">
        <v>236733</v>
      </c>
      <c r="L113" s="5" t="s">
        <v>17</v>
      </c>
    </row>
    <row r="114" ht="14.25" customHeight="1">
      <c r="A114" s="5" t="s">
        <v>226</v>
      </c>
      <c r="B114" s="5" t="s">
        <v>19</v>
      </c>
      <c r="C114" s="8">
        <v>45929</v>
      </c>
      <c r="D114" s="5" t="s">
        <v>30</v>
      </c>
      <c r="E114" s="5" t="s">
        <v>70</v>
      </c>
      <c r="F114" s="5">
        <v>7569</v>
      </c>
      <c r="G114" s="5">
        <v>803</v>
      </c>
      <c r="H114" s="5">
        <v>804</v>
      </c>
      <c r="I114" s="5">
        <v>1753</v>
      </c>
      <c r="J114" s="7">
        <v>43582</v>
      </c>
      <c r="K114" s="5">
        <v>166945</v>
      </c>
      <c r="L114" s="5" t="s">
        <v>21</v>
      </c>
    </row>
    <row r="115" ht="14.25" customHeight="1">
      <c r="A115" s="5" t="s">
        <v>227</v>
      </c>
      <c r="B115" s="5" t="s">
        <v>46</v>
      </c>
      <c r="C115" s="6" t="s">
        <v>228</v>
      </c>
      <c r="D115" s="5" t="s">
        <v>15</v>
      </c>
      <c r="E115" s="5" t="s">
        <v>26</v>
      </c>
      <c r="F115" s="5">
        <v>6300</v>
      </c>
      <c r="G115" s="5">
        <v>1213</v>
      </c>
      <c r="H115" s="5">
        <v>720</v>
      </c>
      <c r="I115" s="5">
        <v>1037</v>
      </c>
      <c r="J115" s="7">
        <v>39569</v>
      </c>
      <c r="K115" s="5">
        <v>85272</v>
      </c>
      <c r="L115" s="5" t="s">
        <v>32</v>
      </c>
    </row>
    <row r="116" ht="14.25" customHeight="1">
      <c r="A116" s="5" t="s">
        <v>229</v>
      </c>
      <c r="B116" s="5" t="s">
        <v>13</v>
      </c>
      <c r="C116" s="8">
        <v>45930</v>
      </c>
      <c r="D116" s="5" t="s">
        <v>25</v>
      </c>
      <c r="E116" s="5" t="s">
        <v>16</v>
      </c>
      <c r="F116" s="5">
        <v>8269</v>
      </c>
      <c r="G116" s="5">
        <v>250</v>
      </c>
      <c r="H116" s="5">
        <v>638</v>
      </c>
      <c r="I116" s="5">
        <v>815</v>
      </c>
      <c r="J116" s="7">
        <v>41991</v>
      </c>
      <c r="K116" s="5">
        <v>129393</v>
      </c>
      <c r="L116" s="5" t="s">
        <v>21</v>
      </c>
    </row>
    <row r="117" ht="14.25" customHeight="1">
      <c r="A117" s="5" t="s">
        <v>230</v>
      </c>
      <c r="B117" s="5" t="s">
        <v>19</v>
      </c>
      <c r="C117" s="6" t="s">
        <v>231</v>
      </c>
      <c r="D117" s="5" t="s">
        <v>15</v>
      </c>
      <c r="E117" s="5" t="s">
        <v>42</v>
      </c>
      <c r="F117" s="5">
        <v>5818</v>
      </c>
      <c r="G117" s="5">
        <v>1252</v>
      </c>
      <c r="H117" s="5">
        <v>687</v>
      </c>
      <c r="I117" s="5">
        <v>2300</v>
      </c>
      <c r="J117" s="7">
        <v>25081</v>
      </c>
      <c r="K117" s="5">
        <v>101212</v>
      </c>
      <c r="L117" s="5" t="s">
        <v>55</v>
      </c>
    </row>
    <row r="118" ht="14.25" customHeight="1">
      <c r="A118" s="5" t="s">
        <v>232</v>
      </c>
      <c r="B118" s="5" t="s">
        <v>23</v>
      </c>
      <c r="C118" s="6" t="s">
        <v>233</v>
      </c>
      <c r="D118" s="5" t="s">
        <v>15</v>
      </c>
      <c r="E118" s="5" t="s">
        <v>62</v>
      </c>
      <c r="F118" s="5">
        <v>14015</v>
      </c>
      <c r="G118" s="5">
        <v>978</v>
      </c>
      <c r="H118" s="5">
        <v>196</v>
      </c>
      <c r="I118" s="5">
        <v>2744</v>
      </c>
      <c r="J118" s="7">
        <v>20190</v>
      </c>
      <c r="K118" s="5">
        <v>186470</v>
      </c>
      <c r="L118" s="5" t="s">
        <v>27</v>
      </c>
    </row>
    <row r="119" ht="14.25" customHeight="1">
      <c r="A119" s="5" t="s">
        <v>234</v>
      </c>
      <c r="B119" s="5" t="s">
        <v>46</v>
      </c>
      <c r="C119" s="6" t="s">
        <v>233</v>
      </c>
      <c r="D119" s="5" t="s">
        <v>30</v>
      </c>
      <c r="E119" s="5" t="s">
        <v>35</v>
      </c>
      <c r="F119" s="5">
        <v>14234</v>
      </c>
      <c r="G119" s="5">
        <v>1013</v>
      </c>
      <c r="H119" s="5">
        <v>437</v>
      </c>
      <c r="I119" s="5">
        <v>338</v>
      </c>
      <c r="J119" s="7">
        <v>67754</v>
      </c>
      <c r="K119" s="5">
        <v>160030</v>
      </c>
      <c r="L119" s="5" t="s">
        <v>27</v>
      </c>
    </row>
    <row r="120" ht="14.25" customHeight="1">
      <c r="A120" s="5" t="s">
        <v>235</v>
      </c>
      <c r="B120" s="5" t="s">
        <v>19</v>
      </c>
      <c r="C120" s="6" t="s">
        <v>236</v>
      </c>
      <c r="D120" s="5" t="s">
        <v>38</v>
      </c>
      <c r="E120" s="5" t="s">
        <v>169</v>
      </c>
      <c r="F120" s="5">
        <v>20290</v>
      </c>
      <c r="G120" s="5">
        <v>619</v>
      </c>
      <c r="H120" s="5">
        <v>927</v>
      </c>
      <c r="I120" s="5">
        <v>1186</v>
      </c>
      <c r="J120" s="7">
        <v>8924</v>
      </c>
      <c r="K120" s="5">
        <v>96503</v>
      </c>
      <c r="L120" s="5" t="s">
        <v>55</v>
      </c>
    </row>
    <row r="121" ht="14.25" customHeight="1">
      <c r="A121" s="5" t="s">
        <v>237</v>
      </c>
      <c r="B121" s="5" t="s">
        <v>23</v>
      </c>
      <c r="C121" s="6" t="s">
        <v>130</v>
      </c>
      <c r="D121" s="5" t="s">
        <v>30</v>
      </c>
      <c r="E121" s="5" t="s">
        <v>31</v>
      </c>
      <c r="F121" s="5">
        <v>8254</v>
      </c>
      <c r="G121" s="5">
        <v>1405</v>
      </c>
      <c r="H121" s="5">
        <v>165</v>
      </c>
      <c r="I121" s="5">
        <v>2504</v>
      </c>
      <c r="J121" s="7">
        <v>8081</v>
      </c>
      <c r="K121" s="5">
        <v>177710</v>
      </c>
      <c r="L121" s="5" t="s">
        <v>17</v>
      </c>
    </row>
    <row r="122" ht="14.25" customHeight="1">
      <c r="A122" s="5" t="s">
        <v>238</v>
      </c>
      <c r="B122" s="5" t="s">
        <v>19</v>
      </c>
      <c r="C122" s="6" t="s">
        <v>221</v>
      </c>
      <c r="D122" s="5" t="s">
        <v>30</v>
      </c>
      <c r="E122" s="5" t="s">
        <v>16</v>
      </c>
      <c r="F122" s="5">
        <v>19144</v>
      </c>
      <c r="G122" s="5">
        <v>1182</v>
      </c>
      <c r="H122" s="5">
        <v>860</v>
      </c>
      <c r="I122" s="5">
        <v>1398</v>
      </c>
      <c r="J122" s="7">
        <v>4185</v>
      </c>
      <c r="K122" s="5">
        <v>46570</v>
      </c>
      <c r="L122" s="5" t="s">
        <v>17</v>
      </c>
    </row>
    <row r="123" ht="14.25" customHeight="1">
      <c r="A123" s="5" t="s">
        <v>239</v>
      </c>
      <c r="B123" s="5" t="s">
        <v>23</v>
      </c>
      <c r="C123" s="6" t="s">
        <v>240</v>
      </c>
      <c r="D123" s="5" t="s">
        <v>30</v>
      </c>
      <c r="E123" s="5" t="s">
        <v>70</v>
      </c>
      <c r="F123" s="5">
        <v>9350</v>
      </c>
      <c r="G123" s="5">
        <v>1024</v>
      </c>
      <c r="H123" s="5">
        <v>550</v>
      </c>
      <c r="I123" s="5">
        <v>2123</v>
      </c>
      <c r="J123" s="7">
        <v>53916</v>
      </c>
      <c r="K123" s="5">
        <v>108785</v>
      </c>
      <c r="L123" s="5" t="s">
        <v>27</v>
      </c>
    </row>
    <row r="124" ht="14.25" customHeight="1">
      <c r="A124" s="5" t="s">
        <v>241</v>
      </c>
      <c r="B124" s="5" t="s">
        <v>46</v>
      </c>
      <c r="C124" s="6" t="s">
        <v>212</v>
      </c>
      <c r="D124" s="5" t="s">
        <v>30</v>
      </c>
      <c r="E124" s="5" t="s">
        <v>62</v>
      </c>
      <c r="F124" s="5">
        <v>17183</v>
      </c>
      <c r="G124" s="5">
        <v>1224</v>
      </c>
      <c r="H124" s="5">
        <v>943</v>
      </c>
      <c r="I124" s="5">
        <v>2010</v>
      </c>
      <c r="J124" s="7">
        <v>21481</v>
      </c>
      <c r="K124" s="5">
        <v>49110</v>
      </c>
      <c r="L124" s="5" t="s">
        <v>27</v>
      </c>
    </row>
    <row r="125" ht="14.25" customHeight="1">
      <c r="A125" s="5" t="s">
        <v>242</v>
      </c>
      <c r="B125" s="5" t="s">
        <v>13</v>
      </c>
      <c r="C125" s="6" t="s">
        <v>243</v>
      </c>
      <c r="D125" s="5" t="s">
        <v>25</v>
      </c>
      <c r="E125" s="5" t="s">
        <v>70</v>
      </c>
      <c r="F125" s="5">
        <v>8238</v>
      </c>
      <c r="G125" s="5">
        <v>766</v>
      </c>
      <c r="H125" s="5">
        <v>235</v>
      </c>
      <c r="I125" s="5">
        <v>1273</v>
      </c>
      <c r="J125" s="7">
        <v>4706</v>
      </c>
      <c r="K125" s="5">
        <v>119141</v>
      </c>
      <c r="L125" s="5" t="s">
        <v>32</v>
      </c>
    </row>
    <row r="126" ht="14.25" customHeight="1">
      <c r="A126" s="5" t="s">
        <v>244</v>
      </c>
      <c r="B126" s="5" t="s">
        <v>23</v>
      </c>
      <c r="C126" s="6" t="s">
        <v>245</v>
      </c>
      <c r="D126" s="5" t="s">
        <v>38</v>
      </c>
      <c r="E126" s="5" t="s">
        <v>16</v>
      </c>
      <c r="F126" s="5">
        <v>8090</v>
      </c>
      <c r="G126" s="5">
        <v>570</v>
      </c>
      <c r="H126" s="5">
        <v>399</v>
      </c>
      <c r="I126" s="5">
        <v>1862</v>
      </c>
      <c r="J126" s="7">
        <v>34088</v>
      </c>
      <c r="K126" s="5">
        <v>52115</v>
      </c>
      <c r="L126" s="5" t="s">
        <v>17</v>
      </c>
    </row>
    <row r="127" ht="14.25" customHeight="1">
      <c r="A127" s="5" t="s">
        <v>246</v>
      </c>
      <c r="B127" s="5" t="s">
        <v>19</v>
      </c>
      <c r="C127" s="6" t="s">
        <v>144</v>
      </c>
      <c r="D127" s="5" t="s">
        <v>15</v>
      </c>
      <c r="E127" s="5" t="s">
        <v>42</v>
      </c>
      <c r="F127" s="5">
        <v>13637</v>
      </c>
      <c r="G127" s="5">
        <v>1135</v>
      </c>
      <c r="H127" s="5">
        <v>540</v>
      </c>
      <c r="I127" s="5">
        <v>1288</v>
      </c>
      <c r="J127" s="7">
        <v>45183</v>
      </c>
      <c r="K127" s="5">
        <v>79062</v>
      </c>
      <c r="L127" s="5" t="s">
        <v>55</v>
      </c>
    </row>
    <row r="128" ht="14.25" customHeight="1">
      <c r="A128" s="5" t="s">
        <v>247</v>
      </c>
      <c r="B128" s="5" t="s">
        <v>46</v>
      </c>
      <c r="C128" s="6" t="s">
        <v>181</v>
      </c>
      <c r="D128" s="5" t="s">
        <v>15</v>
      </c>
      <c r="E128" s="5" t="s">
        <v>62</v>
      </c>
      <c r="F128" s="5">
        <v>24415</v>
      </c>
      <c r="G128" s="5">
        <v>860</v>
      </c>
      <c r="H128" s="5">
        <v>931</v>
      </c>
      <c r="I128" s="5">
        <v>320</v>
      </c>
      <c r="J128" s="7">
        <v>65049</v>
      </c>
      <c r="K128" s="5">
        <v>62911</v>
      </c>
      <c r="L128" s="5" t="s">
        <v>17</v>
      </c>
    </row>
    <row r="129" ht="14.25" customHeight="1">
      <c r="A129" s="5" t="s">
        <v>248</v>
      </c>
      <c r="B129" s="5" t="s">
        <v>23</v>
      </c>
      <c r="C129" s="6" t="s">
        <v>249</v>
      </c>
      <c r="D129" s="5" t="s">
        <v>38</v>
      </c>
      <c r="E129" s="5" t="s">
        <v>70</v>
      </c>
      <c r="F129" s="5">
        <v>14647</v>
      </c>
      <c r="G129" s="5">
        <v>1168</v>
      </c>
      <c r="H129" s="5">
        <v>484</v>
      </c>
      <c r="I129" s="5">
        <v>2650</v>
      </c>
      <c r="J129" s="7">
        <v>27217</v>
      </c>
      <c r="K129" s="5">
        <v>144061</v>
      </c>
      <c r="L129" s="5" t="s">
        <v>32</v>
      </c>
    </row>
    <row r="130" ht="14.25" customHeight="1">
      <c r="A130" s="5" t="s">
        <v>250</v>
      </c>
      <c r="B130" s="5" t="s">
        <v>19</v>
      </c>
      <c r="C130" s="6" t="s">
        <v>52</v>
      </c>
      <c r="D130" s="5" t="s">
        <v>15</v>
      </c>
      <c r="E130" s="5" t="s">
        <v>31</v>
      </c>
      <c r="F130" s="5">
        <v>11911</v>
      </c>
      <c r="G130" s="5">
        <v>1360</v>
      </c>
      <c r="H130" s="5">
        <v>778</v>
      </c>
      <c r="I130" s="5">
        <v>1168</v>
      </c>
      <c r="J130" s="7">
        <v>16483</v>
      </c>
      <c r="K130" s="5">
        <v>72556</v>
      </c>
      <c r="L130" s="5" t="s">
        <v>27</v>
      </c>
    </row>
    <row r="131" ht="14.25" customHeight="1">
      <c r="A131" s="5" t="s">
        <v>251</v>
      </c>
      <c r="B131" s="5" t="s">
        <v>19</v>
      </c>
      <c r="C131" s="6" t="s">
        <v>252</v>
      </c>
      <c r="D131" s="5" t="s">
        <v>38</v>
      </c>
      <c r="E131" s="5" t="s">
        <v>20</v>
      </c>
      <c r="F131" s="5">
        <v>10472</v>
      </c>
      <c r="G131" s="5">
        <v>401</v>
      </c>
      <c r="H131" s="5">
        <v>668</v>
      </c>
      <c r="I131" s="5">
        <v>383</v>
      </c>
      <c r="J131" s="7">
        <v>37571</v>
      </c>
      <c r="K131" s="5">
        <v>249203</v>
      </c>
      <c r="L131" s="5" t="s">
        <v>27</v>
      </c>
    </row>
    <row r="132" ht="14.25" customHeight="1">
      <c r="A132" s="5" t="s">
        <v>253</v>
      </c>
      <c r="B132" s="5" t="s">
        <v>19</v>
      </c>
      <c r="C132" s="6" t="s">
        <v>130</v>
      </c>
      <c r="D132" s="5" t="s">
        <v>15</v>
      </c>
      <c r="E132" s="5" t="s">
        <v>48</v>
      </c>
      <c r="F132" s="5">
        <v>20271</v>
      </c>
      <c r="G132" s="5">
        <v>512</v>
      </c>
      <c r="H132" s="5">
        <v>286</v>
      </c>
      <c r="I132" s="5">
        <v>1982</v>
      </c>
      <c r="J132" s="7">
        <v>43225</v>
      </c>
      <c r="K132" s="5">
        <v>168335</v>
      </c>
      <c r="L132" s="5" t="s">
        <v>32</v>
      </c>
    </row>
    <row r="133" ht="14.25" customHeight="1">
      <c r="A133" s="5" t="s">
        <v>254</v>
      </c>
      <c r="B133" s="5" t="s">
        <v>23</v>
      </c>
      <c r="C133" s="6" t="s">
        <v>83</v>
      </c>
      <c r="D133" s="5" t="s">
        <v>30</v>
      </c>
      <c r="E133" s="5" t="s">
        <v>20</v>
      </c>
      <c r="F133" s="5">
        <v>5266</v>
      </c>
      <c r="G133" s="5">
        <v>316</v>
      </c>
      <c r="H133" s="5">
        <v>837</v>
      </c>
      <c r="I133" s="5">
        <v>2276</v>
      </c>
      <c r="J133" s="7">
        <v>20967</v>
      </c>
      <c r="K133" s="5">
        <v>41969</v>
      </c>
      <c r="L133" s="5" t="s">
        <v>55</v>
      </c>
    </row>
    <row r="134" ht="14.25" customHeight="1">
      <c r="A134" s="5" t="s">
        <v>255</v>
      </c>
      <c r="B134" s="5" t="s">
        <v>23</v>
      </c>
      <c r="C134" s="6" t="s">
        <v>256</v>
      </c>
      <c r="D134" s="5" t="s">
        <v>15</v>
      </c>
      <c r="E134" s="5" t="s">
        <v>16</v>
      </c>
      <c r="F134" s="5">
        <v>2666</v>
      </c>
      <c r="G134" s="5">
        <v>1136</v>
      </c>
      <c r="H134" s="5">
        <v>989</v>
      </c>
      <c r="I134" s="5">
        <v>1710</v>
      </c>
      <c r="J134" s="7">
        <v>36467</v>
      </c>
      <c r="K134" s="5">
        <v>83753</v>
      </c>
      <c r="L134" s="5" t="s">
        <v>27</v>
      </c>
    </row>
    <row r="135" ht="14.25" customHeight="1">
      <c r="A135" s="5" t="s">
        <v>257</v>
      </c>
      <c r="B135" s="5" t="s">
        <v>23</v>
      </c>
      <c r="C135" s="8">
        <v>45931</v>
      </c>
      <c r="D135" s="5" t="s">
        <v>38</v>
      </c>
      <c r="E135" s="5" t="s">
        <v>35</v>
      </c>
      <c r="F135" s="5">
        <v>6188</v>
      </c>
      <c r="G135" s="5">
        <v>774</v>
      </c>
      <c r="H135" s="5">
        <v>647</v>
      </c>
      <c r="I135" s="5">
        <v>1830</v>
      </c>
      <c r="J135" s="7">
        <v>55436</v>
      </c>
      <c r="K135" s="5">
        <v>175542</v>
      </c>
      <c r="L135" s="5" t="s">
        <v>21</v>
      </c>
    </row>
    <row r="136" ht="14.25" customHeight="1">
      <c r="A136" s="5" t="s">
        <v>258</v>
      </c>
      <c r="B136" s="5" t="s">
        <v>13</v>
      </c>
      <c r="C136" s="6" t="s">
        <v>259</v>
      </c>
      <c r="D136" s="5" t="s">
        <v>38</v>
      </c>
      <c r="E136" s="5" t="s">
        <v>48</v>
      </c>
      <c r="F136" s="5">
        <v>19055</v>
      </c>
      <c r="G136" s="5">
        <v>443</v>
      </c>
      <c r="H136" s="5">
        <v>976</v>
      </c>
      <c r="I136" s="5">
        <v>869</v>
      </c>
      <c r="J136" s="7">
        <v>75437</v>
      </c>
      <c r="K136" s="5">
        <v>161863</v>
      </c>
      <c r="L136" s="5" t="s">
        <v>27</v>
      </c>
    </row>
    <row r="137" ht="14.25" customHeight="1">
      <c r="A137" s="5" t="s">
        <v>260</v>
      </c>
      <c r="B137" s="5" t="s">
        <v>23</v>
      </c>
      <c r="C137" s="8">
        <v>45932</v>
      </c>
      <c r="D137" s="5" t="s">
        <v>38</v>
      </c>
      <c r="E137" s="5" t="s">
        <v>26</v>
      </c>
      <c r="F137" s="5">
        <v>12161</v>
      </c>
      <c r="G137" s="5">
        <v>736</v>
      </c>
      <c r="H137" s="5">
        <v>876</v>
      </c>
      <c r="I137" s="5">
        <v>1233</v>
      </c>
      <c r="J137" s="7">
        <v>21337</v>
      </c>
      <c r="K137" s="5">
        <v>50225</v>
      </c>
      <c r="L137" s="5" t="s">
        <v>21</v>
      </c>
    </row>
    <row r="138" ht="14.25" customHeight="1">
      <c r="A138" s="5" t="s">
        <v>261</v>
      </c>
      <c r="B138" s="5" t="s">
        <v>23</v>
      </c>
      <c r="C138" s="6" t="s">
        <v>91</v>
      </c>
      <c r="D138" s="5" t="s">
        <v>38</v>
      </c>
      <c r="E138" s="5" t="s">
        <v>31</v>
      </c>
      <c r="F138" s="5">
        <v>13314</v>
      </c>
      <c r="G138" s="5">
        <v>274</v>
      </c>
      <c r="H138" s="5">
        <v>626</v>
      </c>
      <c r="I138" s="5">
        <v>2280</v>
      </c>
      <c r="J138" s="7">
        <v>14639</v>
      </c>
      <c r="K138" s="5">
        <v>163008</v>
      </c>
      <c r="L138" s="5" t="s">
        <v>32</v>
      </c>
    </row>
    <row r="139" ht="14.25" customHeight="1">
      <c r="A139" s="5" t="s">
        <v>262</v>
      </c>
      <c r="B139" s="5" t="s">
        <v>23</v>
      </c>
      <c r="C139" s="6" t="s">
        <v>148</v>
      </c>
      <c r="D139" s="5" t="s">
        <v>38</v>
      </c>
      <c r="E139" s="5" t="s">
        <v>26</v>
      </c>
      <c r="F139" s="5">
        <v>23508</v>
      </c>
      <c r="G139" s="5">
        <v>585</v>
      </c>
      <c r="H139" s="5">
        <v>743</v>
      </c>
      <c r="I139" s="5">
        <v>2155</v>
      </c>
      <c r="J139" s="7">
        <v>3704</v>
      </c>
      <c r="K139" s="5">
        <v>194268</v>
      </c>
      <c r="L139" s="5" t="s">
        <v>32</v>
      </c>
    </row>
    <row r="140" ht="14.25" customHeight="1">
      <c r="A140" s="5" t="s">
        <v>263</v>
      </c>
      <c r="B140" s="5" t="s">
        <v>13</v>
      </c>
      <c r="C140" s="6" t="s">
        <v>264</v>
      </c>
      <c r="D140" s="5" t="s">
        <v>25</v>
      </c>
      <c r="E140" s="5" t="s">
        <v>62</v>
      </c>
      <c r="F140" s="5">
        <v>23969</v>
      </c>
      <c r="G140" s="5">
        <v>1433</v>
      </c>
      <c r="H140" s="5">
        <v>372</v>
      </c>
      <c r="I140" s="5">
        <v>1092</v>
      </c>
      <c r="J140" s="7">
        <v>32147</v>
      </c>
      <c r="K140" s="5">
        <v>145823</v>
      </c>
      <c r="L140" s="5" t="s">
        <v>27</v>
      </c>
    </row>
    <row r="141" ht="14.25" customHeight="1">
      <c r="A141" s="5" t="s">
        <v>265</v>
      </c>
      <c r="B141" s="5" t="s">
        <v>23</v>
      </c>
      <c r="C141" s="6" t="s">
        <v>266</v>
      </c>
      <c r="D141" s="5" t="s">
        <v>25</v>
      </c>
      <c r="E141" s="5" t="s">
        <v>39</v>
      </c>
      <c r="F141" s="5">
        <v>14891</v>
      </c>
      <c r="G141" s="5">
        <v>674</v>
      </c>
      <c r="H141" s="5">
        <v>521</v>
      </c>
      <c r="I141" s="5">
        <v>1091</v>
      </c>
      <c r="J141" s="7">
        <v>18101</v>
      </c>
      <c r="K141" s="5">
        <v>53669</v>
      </c>
      <c r="L141" s="5" t="s">
        <v>17</v>
      </c>
    </row>
    <row r="142" ht="14.25" customHeight="1">
      <c r="A142" s="5" t="s">
        <v>267</v>
      </c>
      <c r="B142" s="5" t="s">
        <v>19</v>
      </c>
      <c r="C142" s="8">
        <v>45933</v>
      </c>
      <c r="D142" s="5" t="s">
        <v>15</v>
      </c>
      <c r="E142" s="5" t="s">
        <v>48</v>
      </c>
      <c r="F142" s="5">
        <v>6777</v>
      </c>
      <c r="G142" s="5">
        <v>617</v>
      </c>
      <c r="H142" s="5">
        <v>551</v>
      </c>
      <c r="I142" s="5">
        <v>2109</v>
      </c>
      <c r="J142" s="7">
        <v>18559</v>
      </c>
      <c r="K142" s="5">
        <v>208452</v>
      </c>
      <c r="L142" s="5" t="s">
        <v>21</v>
      </c>
    </row>
    <row r="143" ht="14.25" customHeight="1">
      <c r="A143" s="5" t="s">
        <v>268</v>
      </c>
      <c r="B143" s="5" t="s">
        <v>23</v>
      </c>
      <c r="C143" s="6" t="s">
        <v>269</v>
      </c>
      <c r="D143" s="5" t="s">
        <v>38</v>
      </c>
      <c r="E143" s="5" t="s">
        <v>26</v>
      </c>
      <c r="F143" s="5">
        <v>5900</v>
      </c>
      <c r="G143" s="5">
        <v>546</v>
      </c>
      <c r="H143" s="5">
        <v>592</v>
      </c>
      <c r="I143" s="5">
        <v>1594</v>
      </c>
      <c r="J143" s="7">
        <v>38627</v>
      </c>
      <c r="K143" s="5">
        <v>164398</v>
      </c>
      <c r="L143" s="5" t="s">
        <v>55</v>
      </c>
    </row>
    <row r="144" ht="14.25" customHeight="1">
      <c r="A144" s="5" t="s">
        <v>270</v>
      </c>
      <c r="B144" s="5" t="s">
        <v>19</v>
      </c>
      <c r="C144" s="6" t="s">
        <v>240</v>
      </c>
      <c r="D144" s="5" t="s">
        <v>15</v>
      </c>
      <c r="E144" s="5" t="s">
        <v>26</v>
      </c>
      <c r="F144" s="5">
        <v>15716</v>
      </c>
      <c r="G144" s="5">
        <v>839</v>
      </c>
      <c r="H144" s="5">
        <v>639</v>
      </c>
      <c r="I144" s="5">
        <v>2839</v>
      </c>
      <c r="J144" s="7">
        <v>349</v>
      </c>
      <c r="K144" s="5">
        <v>150677</v>
      </c>
      <c r="L144" s="5" t="s">
        <v>27</v>
      </c>
    </row>
    <row r="145" ht="14.25" customHeight="1">
      <c r="A145" s="5" t="s">
        <v>271</v>
      </c>
      <c r="B145" s="5" t="s">
        <v>19</v>
      </c>
      <c r="C145" s="6" t="s">
        <v>161</v>
      </c>
      <c r="D145" s="5" t="s">
        <v>38</v>
      </c>
      <c r="E145" s="5" t="s">
        <v>70</v>
      </c>
      <c r="F145" s="5">
        <v>8981</v>
      </c>
      <c r="G145" s="5">
        <v>1138</v>
      </c>
      <c r="H145" s="5">
        <v>764</v>
      </c>
      <c r="I145" s="5">
        <v>2555</v>
      </c>
      <c r="J145" s="7">
        <v>92810</v>
      </c>
      <c r="K145" s="5">
        <v>88320</v>
      </c>
      <c r="L145" s="5" t="s">
        <v>55</v>
      </c>
    </row>
    <row r="146" ht="14.25" customHeight="1">
      <c r="A146" s="5" t="s">
        <v>272</v>
      </c>
      <c r="B146" s="5" t="s">
        <v>19</v>
      </c>
      <c r="C146" s="6" t="s">
        <v>29</v>
      </c>
      <c r="D146" s="5" t="s">
        <v>38</v>
      </c>
      <c r="E146" s="5" t="s">
        <v>20</v>
      </c>
      <c r="F146" s="5">
        <v>8376</v>
      </c>
      <c r="G146" s="5">
        <v>1154</v>
      </c>
      <c r="H146" s="5">
        <v>422</v>
      </c>
      <c r="I146" s="5">
        <v>1907</v>
      </c>
      <c r="J146" s="7">
        <v>36874</v>
      </c>
      <c r="K146" s="5">
        <v>218486</v>
      </c>
      <c r="L146" s="5" t="s">
        <v>27</v>
      </c>
    </row>
    <row r="147" ht="14.25" customHeight="1">
      <c r="A147" s="5" t="s">
        <v>273</v>
      </c>
      <c r="B147" s="5" t="s">
        <v>13</v>
      </c>
      <c r="C147" s="6" t="s">
        <v>274</v>
      </c>
      <c r="D147" s="5" t="s">
        <v>25</v>
      </c>
      <c r="E147" s="5" t="s">
        <v>70</v>
      </c>
      <c r="F147" s="5">
        <v>18907</v>
      </c>
      <c r="G147" s="5">
        <v>1075</v>
      </c>
      <c r="H147" s="5">
        <v>675</v>
      </c>
      <c r="I147" s="5">
        <v>1383</v>
      </c>
      <c r="J147" s="7">
        <v>17875</v>
      </c>
      <c r="K147" s="5">
        <v>186649</v>
      </c>
      <c r="L147" s="5" t="s">
        <v>17</v>
      </c>
    </row>
    <row r="148" ht="14.25" customHeight="1">
      <c r="A148" s="5" t="s">
        <v>275</v>
      </c>
      <c r="B148" s="5" t="s">
        <v>13</v>
      </c>
      <c r="C148" s="6" t="s">
        <v>130</v>
      </c>
      <c r="D148" s="5" t="s">
        <v>25</v>
      </c>
      <c r="E148" s="5" t="s">
        <v>48</v>
      </c>
      <c r="F148" s="5">
        <v>20777</v>
      </c>
      <c r="G148" s="5">
        <v>962</v>
      </c>
      <c r="H148" s="5">
        <v>308</v>
      </c>
      <c r="I148" s="5">
        <v>2777</v>
      </c>
      <c r="J148" s="7">
        <v>25529</v>
      </c>
      <c r="K148" s="5">
        <v>165354</v>
      </c>
      <c r="L148" s="5" t="s">
        <v>17</v>
      </c>
    </row>
    <row r="149" ht="14.25" customHeight="1">
      <c r="A149" s="5" t="s">
        <v>276</v>
      </c>
      <c r="B149" s="5" t="s">
        <v>13</v>
      </c>
      <c r="C149" s="6" t="s">
        <v>132</v>
      </c>
      <c r="D149" s="5" t="s">
        <v>30</v>
      </c>
      <c r="E149" s="5" t="s">
        <v>48</v>
      </c>
      <c r="F149" s="5">
        <v>20977</v>
      </c>
      <c r="G149" s="5">
        <v>1402</v>
      </c>
      <c r="H149" s="5">
        <v>301</v>
      </c>
      <c r="I149" s="5">
        <v>1284</v>
      </c>
      <c r="J149" s="7">
        <v>24620</v>
      </c>
      <c r="K149" s="5">
        <v>128009</v>
      </c>
      <c r="L149" s="5" t="s">
        <v>17</v>
      </c>
    </row>
    <row r="150" ht="14.25" customHeight="1">
      <c r="A150" s="5" t="s">
        <v>277</v>
      </c>
      <c r="B150" s="5" t="s">
        <v>23</v>
      </c>
      <c r="C150" s="6" t="s">
        <v>278</v>
      </c>
      <c r="D150" s="5" t="s">
        <v>25</v>
      </c>
      <c r="E150" s="5" t="s">
        <v>16</v>
      </c>
      <c r="F150" s="5">
        <v>12160</v>
      </c>
      <c r="G150" s="5">
        <v>1405</v>
      </c>
      <c r="H150" s="5">
        <v>769</v>
      </c>
      <c r="I150" s="5">
        <v>1980</v>
      </c>
      <c r="J150" s="7">
        <v>33174</v>
      </c>
      <c r="K150" s="5">
        <v>226481</v>
      </c>
      <c r="L150" s="5" t="s">
        <v>17</v>
      </c>
    </row>
    <row r="151" ht="14.25" customHeight="1">
      <c r="A151" s="5" t="s">
        <v>279</v>
      </c>
      <c r="B151" s="5" t="s">
        <v>19</v>
      </c>
      <c r="C151" s="6" t="s">
        <v>280</v>
      </c>
      <c r="D151" s="5" t="s">
        <v>30</v>
      </c>
      <c r="E151" s="5" t="s">
        <v>70</v>
      </c>
      <c r="F151" s="5">
        <v>16124</v>
      </c>
      <c r="G151" s="5">
        <v>863</v>
      </c>
      <c r="H151" s="5">
        <v>337</v>
      </c>
      <c r="I151" s="5">
        <v>819</v>
      </c>
      <c r="J151" s="7">
        <v>85788</v>
      </c>
      <c r="K151" s="5">
        <v>68625</v>
      </c>
      <c r="L151" s="5" t="s">
        <v>32</v>
      </c>
    </row>
    <row r="152" ht="14.25" customHeight="1">
      <c r="A152" s="5" t="s">
        <v>281</v>
      </c>
      <c r="B152" s="5" t="s">
        <v>13</v>
      </c>
      <c r="C152" s="6" t="s">
        <v>146</v>
      </c>
      <c r="D152" s="5" t="s">
        <v>30</v>
      </c>
      <c r="E152" s="5" t="s">
        <v>85</v>
      </c>
      <c r="F152" s="5">
        <v>18282</v>
      </c>
      <c r="G152" s="5">
        <v>224</v>
      </c>
      <c r="H152" s="5">
        <v>962</v>
      </c>
      <c r="I152" s="5">
        <v>890</v>
      </c>
      <c r="J152" s="7">
        <v>35105</v>
      </c>
      <c r="K152" s="5">
        <v>64089</v>
      </c>
      <c r="L152" s="5" t="s">
        <v>32</v>
      </c>
    </row>
    <row r="153" ht="14.25" customHeight="1">
      <c r="A153" s="5" t="s">
        <v>282</v>
      </c>
      <c r="B153" s="5" t="s">
        <v>13</v>
      </c>
      <c r="C153" s="8">
        <v>45934</v>
      </c>
      <c r="D153" s="5" t="s">
        <v>30</v>
      </c>
      <c r="E153" s="5" t="s">
        <v>169</v>
      </c>
      <c r="F153" s="5">
        <v>12488</v>
      </c>
      <c r="G153" s="5">
        <v>1403</v>
      </c>
      <c r="H153" s="5">
        <v>247</v>
      </c>
      <c r="I153" s="5">
        <v>1350</v>
      </c>
      <c r="J153" s="7">
        <v>28370</v>
      </c>
      <c r="K153" s="5">
        <v>76487</v>
      </c>
      <c r="L153" s="5" t="s">
        <v>21</v>
      </c>
    </row>
    <row r="154" ht="14.25" customHeight="1">
      <c r="A154" s="5" t="s">
        <v>283</v>
      </c>
      <c r="B154" s="5" t="s">
        <v>23</v>
      </c>
      <c r="C154" s="6" t="s">
        <v>284</v>
      </c>
      <c r="D154" s="5" t="s">
        <v>30</v>
      </c>
      <c r="E154" s="5" t="s">
        <v>20</v>
      </c>
      <c r="F154" s="5">
        <v>24574</v>
      </c>
      <c r="G154" s="5">
        <v>909</v>
      </c>
      <c r="H154" s="5">
        <v>280</v>
      </c>
      <c r="I154" s="5">
        <v>2009</v>
      </c>
      <c r="J154" s="7">
        <v>6221</v>
      </c>
      <c r="K154" s="5">
        <v>236910</v>
      </c>
      <c r="L154" s="5" t="s">
        <v>55</v>
      </c>
    </row>
    <row r="155" ht="14.25" customHeight="1">
      <c r="A155" s="5" t="s">
        <v>285</v>
      </c>
      <c r="B155" s="5" t="s">
        <v>13</v>
      </c>
      <c r="C155" s="6" t="s">
        <v>286</v>
      </c>
      <c r="D155" s="5" t="s">
        <v>30</v>
      </c>
      <c r="E155" s="5" t="s">
        <v>48</v>
      </c>
      <c r="F155" s="5">
        <v>7240</v>
      </c>
      <c r="G155" s="5">
        <v>1384</v>
      </c>
      <c r="H155" s="5">
        <v>954</v>
      </c>
      <c r="I155" s="5">
        <v>2335</v>
      </c>
      <c r="J155" s="7">
        <v>6757</v>
      </c>
      <c r="K155" s="5">
        <v>150448</v>
      </c>
      <c r="L155" s="5" t="s">
        <v>27</v>
      </c>
    </row>
    <row r="156" ht="14.25" customHeight="1">
      <c r="A156" s="5" t="s">
        <v>287</v>
      </c>
      <c r="B156" s="5" t="s">
        <v>23</v>
      </c>
      <c r="C156" s="6" t="s">
        <v>288</v>
      </c>
      <c r="D156" s="5" t="s">
        <v>15</v>
      </c>
      <c r="E156" s="5" t="s">
        <v>16</v>
      </c>
      <c r="F156" s="5">
        <v>12453</v>
      </c>
      <c r="G156" s="5">
        <v>376</v>
      </c>
      <c r="H156" s="5">
        <v>320</v>
      </c>
      <c r="I156" s="5">
        <v>2546</v>
      </c>
      <c r="J156" s="7">
        <v>22617</v>
      </c>
      <c r="K156" s="5">
        <v>90138</v>
      </c>
      <c r="L156" s="5" t="s">
        <v>27</v>
      </c>
    </row>
    <row r="157" ht="14.25" customHeight="1">
      <c r="A157" s="5" t="s">
        <v>289</v>
      </c>
      <c r="B157" s="5" t="s">
        <v>46</v>
      </c>
      <c r="C157" s="6" t="s">
        <v>290</v>
      </c>
      <c r="D157" s="5" t="s">
        <v>25</v>
      </c>
      <c r="E157" s="5" t="s">
        <v>39</v>
      </c>
      <c r="F157" s="5">
        <v>12478</v>
      </c>
      <c r="G157" s="5">
        <v>484</v>
      </c>
      <c r="H157" s="5">
        <v>332</v>
      </c>
      <c r="I157" s="5">
        <v>2734</v>
      </c>
      <c r="J157" s="7">
        <v>43338</v>
      </c>
      <c r="K157" s="5">
        <v>213895</v>
      </c>
      <c r="L157" s="5" t="s">
        <v>32</v>
      </c>
    </row>
    <row r="158" ht="14.25" customHeight="1">
      <c r="A158" s="5" t="s">
        <v>291</v>
      </c>
      <c r="B158" s="5" t="s">
        <v>13</v>
      </c>
      <c r="C158" s="6" t="s">
        <v>292</v>
      </c>
      <c r="D158" s="5" t="s">
        <v>30</v>
      </c>
      <c r="E158" s="5" t="s">
        <v>70</v>
      </c>
      <c r="F158" s="5">
        <v>24877</v>
      </c>
      <c r="G158" s="5">
        <v>262</v>
      </c>
      <c r="H158" s="5">
        <v>513</v>
      </c>
      <c r="I158" s="5">
        <v>648</v>
      </c>
      <c r="J158" s="7">
        <v>47544</v>
      </c>
      <c r="K158" s="5">
        <v>208280</v>
      </c>
      <c r="L158" s="5" t="s">
        <v>27</v>
      </c>
    </row>
    <row r="159" ht="14.25" customHeight="1">
      <c r="A159" s="5" t="s">
        <v>293</v>
      </c>
      <c r="B159" s="5" t="s">
        <v>46</v>
      </c>
      <c r="C159" s="6" t="s">
        <v>294</v>
      </c>
      <c r="D159" s="5" t="s">
        <v>38</v>
      </c>
      <c r="E159" s="5" t="s">
        <v>20</v>
      </c>
      <c r="F159" s="5">
        <v>14394</v>
      </c>
      <c r="G159" s="5">
        <v>1202</v>
      </c>
      <c r="H159" s="5">
        <v>188</v>
      </c>
      <c r="I159" s="5">
        <v>1259</v>
      </c>
      <c r="J159" s="7">
        <v>21925</v>
      </c>
      <c r="K159" s="5">
        <v>94061</v>
      </c>
      <c r="L159" s="5" t="s">
        <v>32</v>
      </c>
    </row>
    <row r="160" ht="14.25" customHeight="1">
      <c r="A160" s="5" t="s">
        <v>295</v>
      </c>
      <c r="B160" s="5" t="s">
        <v>23</v>
      </c>
      <c r="C160" s="8">
        <v>45935</v>
      </c>
      <c r="D160" s="5" t="s">
        <v>25</v>
      </c>
      <c r="E160" s="5" t="s">
        <v>39</v>
      </c>
      <c r="F160" s="5">
        <v>21262</v>
      </c>
      <c r="G160" s="5">
        <v>861</v>
      </c>
      <c r="H160" s="5">
        <v>676</v>
      </c>
      <c r="I160" s="5">
        <v>2263</v>
      </c>
      <c r="J160" s="7">
        <v>12085</v>
      </c>
      <c r="K160" s="5">
        <v>201731</v>
      </c>
      <c r="L160" s="5" t="s">
        <v>21</v>
      </c>
    </row>
    <row r="161" ht="14.25" customHeight="1">
      <c r="A161" s="5" t="s">
        <v>296</v>
      </c>
      <c r="B161" s="5" t="s">
        <v>19</v>
      </c>
      <c r="C161" s="6" t="s">
        <v>297</v>
      </c>
      <c r="D161" s="5" t="s">
        <v>25</v>
      </c>
      <c r="E161" s="5" t="s">
        <v>70</v>
      </c>
      <c r="F161" s="5">
        <v>22527</v>
      </c>
      <c r="G161" s="5">
        <v>865</v>
      </c>
      <c r="H161" s="5">
        <v>646</v>
      </c>
      <c r="I161" s="5">
        <v>992</v>
      </c>
      <c r="J161" s="7">
        <v>18654</v>
      </c>
      <c r="K161" s="5">
        <v>141376</v>
      </c>
      <c r="L161" s="5" t="s">
        <v>55</v>
      </c>
    </row>
    <row r="162" ht="14.25" customHeight="1">
      <c r="A162" s="5" t="s">
        <v>298</v>
      </c>
      <c r="B162" s="5" t="s">
        <v>13</v>
      </c>
      <c r="C162" s="8">
        <v>45936</v>
      </c>
      <c r="D162" s="5" t="s">
        <v>30</v>
      </c>
      <c r="E162" s="5" t="s">
        <v>26</v>
      </c>
      <c r="F162" s="5">
        <v>22028</v>
      </c>
      <c r="G162" s="5">
        <v>355</v>
      </c>
      <c r="H162" s="5">
        <v>665</v>
      </c>
      <c r="I162" s="5">
        <v>1859</v>
      </c>
      <c r="J162" s="7">
        <v>50565</v>
      </c>
      <c r="K162" s="5">
        <v>202962</v>
      </c>
      <c r="L162" s="5" t="s">
        <v>21</v>
      </c>
    </row>
    <row r="163" ht="14.25" customHeight="1">
      <c r="A163" s="5" t="s">
        <v>299</v>
      </c>
      <c r="B163" s="5" t="s">
        <v>23</v>
      </c>
      <c r="C163" s="6" t="s">
        <v>300</v>
      </c>
      <c r="D163" s="5" t="s">
        <v>15</v>
      </c>
      <c r="E163" s="5" t="s">
        <v>39</v>
      </c>
      <c r="F163" s="5">
        <v>6432</v>
      </c>
      <c r="G163" s="5">
        <v>1272</v>
      </c>
      <c r="H163" s="5">
        <v>498</v>
      </c>
      <c r="I163" s="5">
        <v>677</v>
      </c>
      <c r="J163" s="7">
        <v>47305</v>
      </c>
      <c r="K163" s="5">
        <v>119134</v>
      </c>
      <c r="L163" s="5" t="s">
        <v>17</v>
      </c>
    </row>
    <row r="164" ht="14.25" customHeight="1">
      <c r="A164" s="5" t="s">
        <v>301</v>
      </c>
      <c r="B164" s="5" t="s">
        <v>19</v>
      </c>
      <c r="C164" s="6" t="s">
        <v>302</v>
      </c>
      <c r="D164" s="5" t="s">
        <v>30</v>
      </c>
      <c r="E164" s="5" t="s">
        <v>16</v>
      </c>
      <c r="F164" s="5">
        <v>15568</v>
      </c>
      <c r="G164" s="5">
        <v>1166</v>
      </c>
      <c r="H164" s="5">
        <v>546</v>
      </c>
      <c r="I164" s="5">
        <v>826</v>
      </c>
      <c r="J164" s="7">
        <v>21836</v>
      </c>
      <c r="K164" s="5">
        <v>87055</v>
      </c>
      <c r="L164" s="5" t="s">
        <v>17</v>
      </c>
    </row>
    <row r="165" ht="14.25" customHeight="1">
      <c r="A165" s="5" t="s">
        <v>303</v>
      </c>
      <c r="B165" s="5" t="s">
        <v>19</v>
      </c>
      <c r="C165" s="6" t="s">
        <v>72</v>
      </c>
      <c r="D165" s="5" t="s">
        <v>15</v>
      </c>
      <c r="E165" s="5" t="s">
        <v>20</v>
      </c>
      <c r="F165" s="5">
        <v>16178</v>
      </c>
      <c r="G165" s="5">
        <v>1048</v>
      </c>
      <c r="H165" s="5">
        <v>871</v>
      </c>
      <c r="I165" s="5">
        <v>2553</v>
      </c>
      <c r="J165" s="7">
        <v>39025</v>
      </c>
      <c r="K165" s="5">
        <v>59508</v>
      </c>
      <c r="L165" s="5" t="s">
        <v>17</v>
      </c>
    </row>
    <row r="166" ht="14.25" customHeight="1">
      <c r="A166" s="5" t="s">
        <v>304</v>
      </c>
      <c r="B166" s="5" t="s">
        <v>46</v>
      </c>
      <c r="C166" s="8">
        <v>45937</v>
      </c>
      <c r="D166" s="5" t="s">
        <v>38</v>
      </c>
      <c r="E166" s="5" t="s">
        <v>42</v>
      </c>
      <c r="F166" s="5">
        <v>19660</v>
      </c>
      <c r="G166" s="5">
        <v>1307</v>
      </c>
      <c r="H166" s="5">
        <v>310</v>
      </c>
      <c r="I166" s="5">
        <v>2802</v>
      </c>
      <c r="J166" s="7">
        <v>22171</v>
      </c>
      <c r="K166" s="5">
        <v>213359</v>
      </c>
      <c r="L166" s="5" t="s">
        <v>21</v>
      </c>
    </row>
    <row r="167" ht="14.25" customHeight="1">
      <c r="A167" s="5" t="s">
        <v>305</v>
      </c>
      <c r="B167" s="5" t="s">
        <v>23</v>
      </c>
      <c r="C167" s="6" t="s">
        <v>306</v>
      </c>
      <c r="D167" s="5" t="s">
        <v>25</v>
      </c>
      <c r="E167" s="5" t="s">
        <v>62</v>
      </c>
      <c r="F167" s="5">
        <v>24195</v>
      </c>
      <c r="G167" s="5">
        <v>888</v>
      </c>
      <c r="H167" s="5">
        <v>165</v>
      </c>
      <c r="I167" s="5">
        <v>1559</v>
      </c>
      <c r="J167" s="7">
        <v>11596</v>
      </c>
      <c r="K167" s="5">
        <v>249988</v>
      </c>
      <c r="L167" s="5" t="s">
        <v>27</v>
      </c>
    </row>
    <row r="168" ht="14.25" customHeight="1">
      <c r="A168" s="5" t="s">
        <v>307</v>
      </c>
      <c r="B168" s="5" t="s">
        <v>19</v>
      </c>
      <c r="C168" s="6" t="s">
        <v>259</v>
      </c>
      <c r="D168" s="5" t="s">
        <v>38</v>
      </c>
      <c r="E168" s="5" t="s">
        <v>62</v>
      </c>
      <c r="F168" s="5">
        <v>2302</v>
      </c>
      <c r="G168" s="5">
        <v>347</v>
      </c>
      <c r="H168" s="5">
        <v>642</v>
      </c>
      <c r="I168" s="5">
        <v>2175</v>
      </c>
      <c r="J168" s="7">
        <v>56378</v>
      </c>
      <c r="K168" s="5">
        <v>198056</v>
      </c>
      <c r="L168" s="5" t="s">
        <v>55</v>
      </c>
    </row>
    <row r="169" ht="14.25" customHeight="1">
      <c r="A169" s="5" t="s">
        <v>308</v>
      </c>
      <c r="B169" s="5" t="s">
        <v>13</v>
      </c>
      <c r="C169" s="6" t="s">
        <v>309</v>
      </c>
      <c r="D169" s="5" t="s">
        <v>15</v>
      </c>
      <c r="E169" s="5" t="s">
        <v>20</v>
      </c>
      <c r="F169" s="5">
        <v>19022</v>
      </c>
      <c r="G169" s="5">
        <v>541</v>
      </c>
      <c r="H169" s="5">
        <v>575</v>
      </c>
      <c r="I169" s="5">
        <v>2063</v>
      </c>
      <c r="J169" s="7">
        <v>42743</v>
      </c>
      <c r="K169" s="5">
        <v>150169</v>
      </c>
      <c r="L169" s="5" t="s">
        <v>17</v>
      </c>
    </row>
    <row r="170" ht="14.25" customHeight="1">
      <c r="A170" s="5" t="s">
        <v>310</v>
      </c>
      <c r="B170" s="5" t="s">
        <v>13</v>
      </c>
      <c r="C170" s="6" t="s">
        <v>311</v>
      </c>
      <c r="D170" s="5" t="s">
        <v>15</v>
      </c>
      <c r="E170" s="5" t="s">
        <v>39</v>
      </c>
      <c r="F170" s="5">
        <v>2055</v>
      </c>
      <c r="G170" s="5">
        <v>675</v>
      </c>
      <c r="H170" s="5">
        <v>257</v>
      </c>
      <c r="I170" s="5">
        <v>820</v>
      </c>
      <c r="J170" s="7">
        <v>33534</v>
      </c>
      <c r="K170" s="5">
        <v>48125</v>
      </c>
      <c r="L170" s="5" t="s">
        <v>17</v>
      </c>
    </row>
    <row r="171" ht="14.25" customHeight="1">
      <c r="A171" s="5" t="s">
        <v>312</v>
      </c>
      <c r="B171" s="5" t="s">
        <v>46</v>
      </c>
      <c r="C171" s="6" t="s">
        <v>313</v>
      </c>
      <c r="D171" s="5" t="s">
        <v>38</v>
      </c>
      <c r="E171" s="5" t="s">
        <v>70</v>
      </c>
      <c r="F171" s="5">
        <v>15013</v>
      </c>
      <c r="G171" s="5">
        <v>1286</v>
      </c>
      <c r="H171" s="5">
        <v>599</v>
      </c>
      <c r="I171" s="5">
        <v>2001</v>
      </c>
      <c r="J171" s="7">
        <v>67839</v>
      </c>
      <c r="K171" s="5">
        <v>76059</v>
      </c>
      <c r="L171" s="5" t="s">
        <v>17</v>
      </c>
    </row>
    <row r="172" ht="14.25" customHeight="1">
      <c r="A172" s="5" t="s">
        <v>314</v>
      </c>
      <c r="B172" s="5" t="s">
        <v>19</v>
      </c>
      <c r="C172" s="6" t="s">
        <v>315</v>
      </c>
      <c r="D172" s="5" t="s">
        <v>15</v>
      </c>
      <c r="E172" s="5" t="s">
        <v>16</v>
      </c>
      <c r="F172" s="5">
        <v>10717</v>
      </c>
      <c r="G172" s="5">
        <v>760</v>
      </c>
      <c r="H172" s="5">
        <v>460</v>
      </c>
      <c r="I172" s="5">
        <v>1316</v>
      </c>
      <c r="J172" s="7">
        <v>18164</v>
      </c>
      <c r="K172" s="5">
        <v>240641</v>
      </c>
      <c r="L172" s="5" t="s">
        <v>55</v>
      </c>
    </row>
    <row r="173" ht="14.25" customHeight="1">
      <c r="A173" s="5" t="s">
        <v>316</v>
      </c>
      <c r="B173" s="5" t="s">
        <v>23</v>
      </c>
      <c r="C173" s="6" t="s">
        <v>317</v>
      </c>
      <c r="D173" s="5" t="s">
        <v>38</v>
      </c>
      <c r="E173" s="5" t="s">
        <v>169</v>
      </c>
      <c r="F173" s="5">
        <v>10150</v>
      </c>
      <c r="G173" s="5">
        <v>526</v>
      </c>
      <c r="H173" s="5">
        <v>888</v>
      </c>
      <c r="I173" s="5">
        <v>1313</v>
      </c>
      <c r="J173" s="7">
        <v>51605</v>
      </c>
      <c r="K173" s="5">
        <v>143409</v>
      </c>
      <c r="L173" s="5" t="s">
        <v>17</v>
      </c>
    </row>
    <row r="174" ht="14.25" customHeight="1">
      <c r="A174" s="5" t="s">
        <v>318</v>
      </c>
      <c r="B174" s="5" t="s">
        <v>13</v>
      </c>
      <c r="C174" s="6" t="s">
        <v>319</v>
      </c>
      <c r="D174" s="5" t="s">
        <v>25</v>
      </c>
      <c r="E174" s="5" t="s">
        <v>62</v>
      </c>
      <c r="F174" s="5">
        <v>4125</v>
      </c>
      <c r="G174" s="5">
        <v>1364</v>
      </c>
      <c r="H174" s="5">
        <v>319</v>
      </c>
      <c r="I174" s="5">
        <v>2848</v>
      </c>
      <c r="J174" s="7">
        <v>15379</v>
      </c>
      <c r="K174" s="5">
        <v>188159</v>
      </c>
      <c r="L174" s="5" t="s">
        <v>55</v>
      </c>
    </row>
    <row r="175" ht="14.25" customHeight="1">
      <c r="A175" s="5" t="s">
        <v>320</v>
      </c>
      <c r="B175" s="5" t="s">
        <v>19</v>
      </c>
      <c r="C175" s="6" t="s">
        <v>134</v>
      </c>
      <c r="D175" s="5" t="s">
        <v>38</v>
      </c>
      <c r="E175" s="5" t="s">
        <v>16</v>
      </c>
      <c r="F175" s="5">
        <v>13479</v>
      </c>
      <c r="G175" s="5">
        <v>1189</v>
      </c>
      <c r="H175" s="5">
        <v>695</v>
      </c>
      <c r="I175" s="5">
        <v>416</v>
      </c>
      <c r="J175" s="7">
        <v>30229</v>
      </c>
      <c r="K175" s="5">
        <v>45704</v>
      </c>
      <c r="L175" s="5" t="s">
        <v>17</v>
      </c>
    </row>
    <row r="176" ht="14.25" customHeight="1">
      <c r="A176" s="5" t="s">
        <v>321</v>
      </c>
      <c r="B176" s="5" t="s">
        <v>19</v>
      </c>
      <c r="C176" s="8">
        <v>45938</v>
      </c>
      <c r="D176" s="5" t="s">
        <v>25</v>
      </c>
      <c r="E176" s="5" t="s">
        <v>62</v>
      </c>
      <c r="F176" s="5">
        <v>17745</v>
      </c>
      <c r="G176" s="5">
        <v>414</v>
      </c>
      <c r="H176" s="5">
        <v>563</v>
      </c>
      <c r="I176" s="5">
        <v>2733</v>
      </c>
      <c r="J176" s="7">
        <v>995</v>
      </c>
      <c r="K176" s="5">
        <v>231648</v>
      </c>
      <c r="L176" s="5" t="s">
        <v>21</v>
      </c>
    </row>
    <row r="177" ht="14.25" customHeight="1">
      <c r="A177" s="5" t="s">
        <v>322</v>
      </c>
      <c r="B177" s="5" t="s">
        <v>46</v>
      </c>
      <c r="C177" s="8">
        <v>45939</v>
      </c>
      <c r="D177" s="5" t="s">
        <v>38</v>
      </c>
      <c r="E177" s="5" t="s">
        <v>26</v>
      </c>
      <c r="F177" s="5">
        <v>18748</v>
      </c>
      <c r="G177" s="5">
        <v>634</v>
      </c>
      <c r="H177" s="5">
        <v>400</v>
      </c>
      <c r="I177" s="5">
        <v>1667</v>
      </c>
      <c r="J177" s="7">
        <v>75813</v>
      </c>
      <c r="K177" s="5">
        <v>244456</v>
      </c>
      <c r="L177" s="5" t="s">
        <v>21</v>
      </c>
    </row>
    <row r="178" ht="14.25" customHeight="1">
      <c r="A178" s="5" t="s">
        <v>323</v>
      </c>
      <c r="B178" s="5" t="s">
        <v>13</v>
      </c>
      <c r="C178" s="6" t="s">
        <v>324</v>
      </c>
      <c r="D178" s="5" t="s">
        <v>15</v>
      </c>
      <c r="E178" s="5" t="s">
        <v>70</v>
      </c>
      <c r="F178" s="5">
        <v>8809</v>
      </c>
      <c r="G178" s="5">
        <v>1151</v>
      </c>
      <c r="H178" s="5">
        <v>908</v>
      </c>
      <c r="I178" s="5">
        <v>883</v>
      </c>
      <c r="J178" s="7">
        <v>42921</v>
      </c>
      <c r="K178" s="5">
        <v>151279</v>
      </c>
      <c r="L178" s="5" t="s">
        <v>55</v>
      </c>
    </row>
    <row r="179" ht="14.25" customHeight="1">
      <c r="A179" s="5" t="s">
        <v>325</v>
      </c>
      <c r="B179" s="5" t="s">
        <v>13</v>
      </c>
      <c r="C179" s="8">
        <v>45940</v>
      </c>
      <c r="D179" s="5" t="s">
        <v>38</v>
      </c>
      <c r="E179" s="5" t="s">
        <v>26</v>
      </c>
      <c r="F179" s="5">
        <v>6621</v>
      </c>
      <c r="G179" s="5">
        <v>922</v>
      </c>
      <c r="H179" s="5">
        <v>930</v>
      </c>
      <c r="I179" s="5">
        <v>694</v>
      </c>
      <c r="J179" s="7">
        <v>839</v>
      </c>
      <c r="K179" s="5">
        <v>243532</v>
      </c>
      <c r="L179" s="5" t="s">
        <v>21</v>
      </c>
    </row>
    <row r="180" ht="14.25" customHeight="1">
      <c r="A180" s="5" t="s">
        <v>326</v>
      </c>
      <c r="B180" s="5" t="s">
        <v>23</v>
      </c>
      <c r="C180" s="6" t="s">
        <v>266</v>
      </c>
      <c r="D180" s="5" t="s">
        <v>15</v>
      </c>
      <c r="E180" s="5" t="s">
        <v>62</v>
      </c>
      <c r="F180" s="5">
        <v>17034</v>
      </c>
      <c r="G180" s="5">
        <v>231</v>
      </c>
      <c r="H180" s="5">
        <v>290</v>
      </c>
      <c r="I180" s="5">
        <v>1387</v>
      </c>
      <c r="J180" s="7">
        <v>63550</v>
      </c>
      <c r="K180" s="5">
        <v>198280</v>
      </c>
      <c r="L180" s="5" t="s">
        <v>55</v>
      </c>
    </row>
    <row r="181" ht="14.25" customHeight="1">
      <c r="A181" s="5" t="s">
        <v>327</v>
      </c>
      <c r="B181" s="5" t="s">
        <v>13</v>
      </c>
      <c r="C181" s="8">
        <v>45941</v>
      </c>
      <c r="D181" s="5" t="s">
        <v>38</v>
      </c>
      <c r="E181" s="5" t="s">
        <v>42</v>
      </c>
      <c r="F181" s="5">
        <v>15623</v>
      </c>
      <c r="G181" s="5">
        <v>869</v>
      </c>
      <c r="H181" s="5">
        <v>423</v>
      </c>
      <c r="I181" s="5">
        <v>371</v>
      </c>
      <c r="J181" s="7">
        <v>47579</v>
      </c>
      <c r="K181" s="5">
        <v>158516</v>
      </c>
      <c r="L181" s="5" t="s">
        <v>21</v>
      </c>
    </row>
    <row r="182" ht="14.25" customHeight="1">
      <c r="A182" s="5" t="s">
        <v>328</v>
      </c>
      <c r="B182" s="5" t="s">
        <v>23</v>
      </c>
      <c r="C182" s="8">
        <v>45942</v>
      </c>
      <c r="D182" s="5" t="s">
        <v>38</v>
      </c>
      <c r="E182" s="5" t="s">
        <v>42</v>
      </c>
      <c r="F182" s="5">
        <v>7126</v>
      </c>
      <c r="G182" s="5">
        <v>484</v>
      </c>
      <c r="H182" s="5">
        <v>565</v>
      </c>
      <c r="I182" s="5">
        <v>573</v>
      </c>
      <c r="J182" s="7">
        <v>7389</v>
      </c>
      <c r="K182" s="5">
        <v>237096</v>
      </c>
      <c r="L182" s="5" t="s">
        <v>21</v>
      </c>
    </row>
    <row r="183" ht="14.25" customHeight="1">
      <c r="A183" s="5" t="s">
        <v>329</v>
      </c>
      <c r="B183" s="5" t="s">
        <v>13</v>
      </c>
      <c r="C183" s="6" t="s">
        <v>91</v>
      </c>
      <c r="D183" s="5" t="s">
        <v>30</v>
      </c>
      <c r="E183" s="5" t="s">
        <v>26</v>
      </c>
      <c r="F183" s="5">
        <v>7122</v>
      </c>
      <c r="G183" s="5">
        <v>628</v>
      </c>
      <c r="H183" s="5">
        <v>757</v>
      </c>
      <c r="I183" s="5">
        <v>2313</v>
      </c>
      <c r="J183" s="7">
        <v>50924</v>
      </c>
      <c r="K183" s="5">
        <v>210954</v>
      </c>
      <c r="L183" s="5" t="s">
        <v>55</v>
      </c>
    </row>
    <row r="184" ht="14.25" customHeight="1">
      <c r="A184" s="5" t="s">
        <v>330</v>
      </c>
      <c r="B184" s="5" t="s">
        <v>46</v>
      </c>
      <c r="C184" s="6" t="s">
        <v>331</v>
      </c>
      <c r="D184" s="5" t="s">
        <v>15</v>
      </c>
      <c r="E184" s="5" t="s">
        <v>42</v>
      </c>
      <c r="F184" s="5">
        <v>20030</v>
      </c>
      <c r="G184" s="5">
        <v>485</v>
      </c>
      <c r="H184" s="5">
        <v>888</v>
      </c>
      <c r="I184" s="5">
        <v>1643</v>
      </c>
      <c r="J184" s="7">
        <v>4322</v>
      </c>
      <c r="K184" s="5">
        <v>196995</v>
      </c>
      <c r="L184" s="5" t="s">
        <v>27</v>
      </c>
    </row>
    <row r="185" ht="14.25" customHeight="1">
      <c r="A185" s="5" t="s">
        <v>332</v>
      </c>
      <c r="B185" s="5" t="s">
        <v>13</v>
      </c>
      <c r="C185" s="8">
        <v>45943</v>
      </c>
      <c r="D185" s="5" t="s">
        <v>30</v>
      </c>
      <c r="E185" s="5" t="s">
        <v>62</v>
      </c>
      <c r="F185" s="5">
        <v>19302</v>
      </c>
      <c r="G185" s="5">
        <v>1367</v>
      </c>
      <c r="H185" s="5">
        <v>188</v>
      </c>
      <c r="I185" s="5">
        <v>637</v>
      </c>
      <c r="J185" s="7">
        <v>31404</v>
      </c>
      <c r="K185" s="5">
        <v>154044</v>
      </c>
      <c r="L185" s="5" t="s">
        <v>21</v>
      </c>
    </row>
    <row r="186" ht="14.25" customHeight="1">
      <c r="A186" s="5" t="s">
        <v>333</v>
      </c>
      <c r="B186" s="5" t="s">
        <v>23</v>
      </c>
      <c r="C186" s="6" t="s">
        <v>334</v>
      </c>
      <c r="D186" s="5" t="s">
        <v>15</v>
      </c>
      <c r="E186" s="5" t="s">
        <v>20</v>
      </c>
      <c r="F186" s="5">
        <v>21181</v>
      </c>
      <c r="G186" s="5">
        <v>1242</v>
      </c>
      <c r="H186" s="5">
        <v>963</v>
      </c>
      <c r="I186" s="5">
        <v>1689</v>
      </c>
      <c r="J186" s="7">
        <v>49329</v>
      </c>
      <c r="K186" s="5">
        <v>69165</v>
      </c>
      <c r="L186" s="5" t="s">
        <v>17</v>
      </c>
    </row>
    <row r="187" ht="14.25" customHeight="1">
      <c r="A187" s="5" t="s">
        <v>335</v>
      </c>
      <c r="B187" s="5" t="s">
        <v>23</v>
      </c>
      <c r="C187" s="6" t="s">
        <v>297</v>
      </c>
      <c r="D187" s="5" t="s">
        <v>30</v>
      </c>
      <c r="E187" s="5" t="s">
        <v>26</v>
      </c>
      <c r="F187" s="5">
        <v>24890</v>
      </c>
      <c r="G187" s="5">
        <v>217</v>
      </c>
      <c r="H187" s="5">
        <v>178</v>
      </c>
      <c r="I187" s="5">
        <v>906</v>
      </c>
      <c r="J187" s="7">
        <v>54826</v>
      </c>
      <c r="K187" s="5">
        <v>107203</v>
      </c>
      <c r="L187" s="5" t="s">
        <v>27</v>
      </c>
    </row>
    <row r="188" ht="14.25" customHeight="1">
      <c r="A188" s="5" t="s">
        <v>336</v>
      </c>
      <c r="B188" s="5" t="s">
        <v>46</v>
      </c>
      <c r="C188" s="6" t="s">
        <v>337</v>
      </c>
      <c r="D188" s="5" t="s">
        <v>25</v>
      </c>
      <c r="E188" s="5" t="s">
        <v>169</v>
      </c>
      <c r="F188" s="5">
        <v>7870</v>
      </c>
      <c r="G188" s="5">
        <v>968</v>
      </c>
      <c r="H188" s="5">
        <v>626</v>
      </c>
      <c r="I188" s="5">
        <v>465</v>
      </c>
      <c r="J188" s="7">
        <v>27184</v>
      </c>
      <c r="K188" s="5">
        <v>44114</v>
      </c>
      <c r="L188" s="5" t="s">
        <v>55</v>
      </c>
    </row>
    <row r="189" ht="14.25" customHeight="1">
      <c r="A189" s="5" t="s">
        <v>338</v>
      </c>
      <c r="B189" s="5" t="s">
        <v>13</v>
      </c>
      <c r="C189" s="6" t="s">
        <v>183</v>
      </c>
      <c r="D189" s="5" t="s">
        <v>38</v>
      </c>
      <c r="E189" s="5" t="s">
        <v>169</v>
      </c>
      <c r="F189" s="5">
        <v>3531</v>
      </c>
      <c r="G189" s="5">
        <v>789</v>
      </c>
      <c r="H189" s="5">
        <v>467</v>
      </c>
      <c r="I189" s="5">
        <v>1867</v>
      </c>
      <c r="J189" s="7">
        <v>40816</v>
      </c>
      <c r="K189" s="5">
        <v>236037</v>
      </c>
      <c r="L189" s="5" t="s">
        <v>27</v>
      </c>
    </row>
    <row r="190" ht="14.25" customHeight="1">
      <c r="A190" s="5" t="s">
        <v>339</v>
      </c>
      <c r="B190" s="5" t="s">
        <v>13</v>
      </c>
      <c r="C190" s="6" t="s">
        <v>340</v>
      </c>
      <c r="D190" s="5" t="s">
        <v>15</v>
      </c>
      <c r="E190" s="5" t="s">
        <v>35</v>
      </c>
      <c r="F190" s="5">
        <v>10172</v>
      </c>
      <c r="G190" s="5">
        <v>1398</v>
      </c>
      <c r="H190" s="5">
        <v>394</v>
      </c>
      <c r="I190" s="5">
        <v>2358</v>
      </c>
      <c r="J190" s="7">
        <v>59610</v>
      </c>
      <c r="K190" s="5">
        <v>76321</v>
      </c>
      <c r="L190" s="5" t="s">
        <v>32</v>
      </c>
    </row>
    <row r="191" ht="14.25" customHeight="1">
      <c r="A191" s="5" t="s">
        <v>341</v>
      </c>
      <c r="B191" s="5" t="s">
        <v>46</v>
      </c>
      <c r="C191" s="6" t="s">
        <v>342</v>
      </c>
      <c r="D191" s="5" t="s">
        <v>15</v>
      </c>
      <c r="E191" s="5" t="s">
        <v>39</v>
      </c>
      <c r="F191" s="5">
        <v>21729</v>
      </c>
      <c r="G191" s="5">
        <v>1209</v>
      </c>
      <c r="H191" s="5">
        <v>897</v>
      </c>
      <c r="I191" s="5">
        <v>1624</v>
      </c>
      <c r="J191" s="7">
        <v>38771</v>
      </c>
      <c r="K191" s="5">
        <v>113297</v>
      </c>
      <c r="L191" s="5" t="s">
        <v>32</v>
      </c>
    </row>
    <row r="192" ht="14.25" customHeight="1">
      <c r="A192" s="5" t="s">
        <v>343</v>
      </c>
      <c r="B192" s="5" t="s">
        <v>13</v>
      </c>
      <c r="C192" s="8">
        <v>45944</v>
      </c>
      <c r="D192" s="5" t="s">
        <v>38</v>
      </c>
      <c r="E192" s="5" t="s">
        <v>70</v>
      </c>
      <c r="F192" s="5">
        <v>9673</v>
      </c>
      <c r="G192" s="5">
        <v>393</v>
      </c>
      <c r="H192" s="5">
        <v>846</v>
      </c>
      <c r="I192" s="5">
        <v>1028</v>
      </c>
      <c r="J192" s="7">
        <v>55556</v>
      </c>
      <c r="K192" s="5">
        <v>136652</v>
      </c>
      <c r="L192" s="5" t="s">
        <v>21</v>
      </c>
    </row>
    <row r="193" ht="14.25" customHeight="1">
      <c r="A193" s="5" t="s">
        <v>344</v>
      </c>
      <c r="B193" s="5" t="s">
        <v>13</v>
      </c>
      <c r="C193" s="8">
        <v>45945</v>
      </c>
      <c r="D193" s="5" t="s">
        <v>15</v>
      </c>
      <c r="E193" s="5" t="s">
        <v>42</v>
      </c>
      <c r="F193" s="5">
        <v>8882</v>
      </c>
      <c r="G193" s="5">
        <v>701</v>
      </c>
      <c r="H193" s="5">
        <v>421</v>
      </c>
      <c r="I193" s="5">
        <v>2343</v>
      </c>
      <c r="J193" s="7">
        <v>13588</v>
      </c>
      <c r="K193" s="5">
        <v>139304</v>
      </c>
      <c r="L193" s="5" t="s">
        <v>21</v>
      </c>
    </row>
    <row r="194" ht="14.25" customHeight="1">
      <c r="A194" s="5" t="s">
        <v>345</v>
      </c>
      <c r="B194" s="5" t="s">
        <v>23</v>
      </c>
      <c r="C194" s="6" t="s">
        <v>346</v>
      </c>
      <c r="D194" s="5" t="s">
        <v>15</v>
      </c>
      <c r="E194" s="5" t="s">
        <v>42</v>
      </c>
      <c r="F194" s="5">
        <v>3906</v>
      </c>
      <c r="G194" s="5">
        <v>1187</v>
      </c>
      <c r="H194" s="5">
        <v>589</v>
      </c>
      <c r="I194" s="5">
        <v>401</v>
      </c>
      <c r="J194" s="7">
        <v>52687</v>
      </c>
      <c r="K194" s="5">
        <v>196498</v>
      </c>
      <c r="L194" s="5" t="s">
        <v>17</v>
      </c>
    </row>
    <row r="195" ht="14.25" customHeight="1">
      <c r="A195" s="5" t="s">
        <v>347</v>
      </c>
      <c r="B195" s="5" t="s">
        <v>13</v>
      </c>
      <c r="C195" s="6" t="s">
        <v>240</v>
      </c>
      <c r="D195" s="5" t="s">
        <v>30</v>
      </c>
      <c r="E195" s="5" t="s">
        <v>39</v>
      </c>
      <c r="F195" s="5">
        <v>5086</v>
      </c>
      <c r="G195" s="5">
        <v>1336</v>
      </c>
      <c r="H195" s="5">
        <v>897</v>
      </c>
      <c r="I195" s="5">
        <v>1715</v>
      </c>
      <c r="J195" s="7">
        <v>60592</v>
      </c>
      <c r="K195" s="5">
        <v>57772</v>
      </c>
      <c r="L195" s="5" t="s">
        <v>27</v>
      </c>
    </row>
    <row r="196" ht="14.25" customHeight="1">
      <c r="A196" s="5" t="s">
        <v>348</v>
      </c>
      <c r="B196" s="5" t="s">
        <v>13</v>
      </c>
      <c r="C196" s="6" t="s">
        <v>349</v>
      </c>
      <c r="D196" s="5" t="s">
        <v>15</v>
      </c>
      <c r="E196" s="5" t="s">
        <v>48</v>
      </c>
      <c r="F196" s="5">
        <v>15503</v>
      </c>
      <c r="G196" s="5">
        <v>313</v>
      </c>
      <c r="H196" s="5">
        <v>388</v>
      </c>
      <c r="I196" s="5">
        <v>1078</v>
      </c>
      <c r="J196" s="7">
        <v>11500</v>
      </c>
      <c r="K196" s="5">
        <v>143754</v>
      </c>
      <c r="L196" s="5" t="s">
        <v>32</v>
      </c>
    </row>
    <row r="197" ht="14.25" customHeight="1">
      <c r="A197" s="5" t="s">
        <v>350</v>
      </c>
      <c r="B197" s="5" t="s">
        <v>46</v>
      </c>
      <c r="C197" s="8">
        <v>45918</v>
      </c>
      <c r="D197" s="5" t="s">
        <v>25</v>
      </c>
      <c r="E197" s="5" t="s">
        <v>85</v>
      </c>
      <c r="F197" s="5">
        <v>10152</v>
      </c>
      <c r="G197" s="5">
        <v>1445</v>
      </c>
      <c r="H197" s="5">
        <v>526</v>
      </c>
      <c r="I197" s="5">
        <v>513</v>
      </c>
      <c r="J197" s="7">
        <v>18959</v>
      </c>
      <c r="K197" s="5">
        <v>43712</v>
      </c>
      <c r="L197" s="5" t="s">
        <v>21</v>
      </c>
    </row>
    <row r="198" ht="14.25" customHeight="1">
      <c r="A198" s="5" t="s">
        <v>351</v>
      </c>
      <c r="B198" s="5" t="s">
        <v>46</v>
      </c>
      <c r="C198" s="6" t="s">
        <v>290</v>
      </c>
      <c r="D198" s="5" t="s">
        <v>25</v>
      </c>
      <c r="E198" s="5" t="s">
        <v>26</v>
      </c>
      <c r="F198" s="5">
        <v>7750</v>
      </c>
      <c r="G198" s="5">
        <v>1146</v>
      </c>
      <c r="H198" s="5">
        <v>415</v>
      </c>
      <c r="I198" s="5">
        <v>1411</v>
      </c>
      <c r="J198" s="7">
        <v>85339</v>
      </c>
      <c r="K198" s="5">
        <v>172439</v>
      </c>
      <c r="L198" s="5" t="s">
        <v>27</v>
      </c>
    </row>
    <row r="199" ht="14.25" customHeight="1">
      <c r="A199" s="5" t="s">
        <v>352</v>
      </c>
      <c r="B199" s="5" t="s">
        <v>19</v>
      </c>
      <c r="C199" s="8">
        <v>45919</v>
      </c>
      <c r="D199" s="5" t="s">
        <v>38</v>
      </c>
      <c r="E199" s="5" t="s">
        <v>31</v>
      </c>
      <c r="F199" s="5">
        <v>14772</v>
      </c>
      <c r="G199" s="5">
        <v>1030</v>
      </c>
      <c r="H199" s="5">
        <v>508</v>
      </c>
      <c r="I199" s="5">
        <v>1876</v>
      </c>
      <c r="J199" s="7">
        <v>8882</v>
      </c>
      <c r="K199" s="5">
        <v>155142</v>
      </c>
      <c r="L199" s="5" t="s">
        <v>21</v>
      </c>
    </row>
    <row r="200" ht="14.25" customHeight="1">
      <c r="A200" s="5" t="s">
        <v>353</v>
      </c>
      <c r="B200" s="5" t="s">
        <v>23</v>
      </c>
      <c r="C200" s="8">
        <v>45920</v>
      </c>
      <c r="D200" s="5" t="s">
        <v>15</v>
      </c>
      <c r="E200" s="5" t="s">
        <v>42</v>
      </c>
      <c r="F200" s="5">
        <v>12267</v>
      </c>
      <c r="G200" s="5">
        <v>1487</v>
      </c>
      <c r="H200" s="5">
        <v>489</v>
      </c>
      <c r="I200" s="5">
        <v>2748</v>
      </c>
      <c r="J200" s="7">
        <v>34685</v>
      </c>
      <c r="K200" s="5">
        <v>131736</v>
      </c>
      <c r="L200" s="5" t="s">
        <v>21</v>
      </c>
    </row>
    <row r="201" ht="14.25" customHeight="1">
      <c r="A201" s="5" t="s">
        <v>354</v>
      </c>
      <c r="B201" s="5" t="s">
        <v>13</v>
      </c>
      <c r="C201" s="6" t="s">
        <v>355</v>
      </c>
      <c r="D201" s="5" t="s">
        <v>38</v>
      </c>
      <c r="E201" s="5" t="s">
        <v>70</v>
      </c>
      <c r="F201" s="5">
        <v>3062</v>
      </c>
      <c r="G201" s="5">
        <v>1124</v>
      </c>
      <c r="H201" s="5">
        <v>538</v>
      </c>
      <c r="I201" s="5">
        <v>2935</v>
      </c>
      <c r="J201" s="7">
        <v>69749</v>
      </c>
      <c r="K201" s="5">
        <v>91924</v>
      </c>
      <c r="L201" s="5" t="s">
        <v>32</v>
      </c>
    </row>
    <row r="202" ht="14.25" customHeight="1">
      <c r="A202" s="5" t="s">
        <v>356</v>
      </c>
      <c r="B202" s="5" t="s">
        <v>13</v>
      </c>
      <c r="C202" s="6" t="s">
        <v>357</v>
      </c>
      <c r="D202" s="5" t="s">
        <v>25</v>
      </c>
      <c r="E202" s="5" t="s">
        <v>35</v>
      </c>
      <c r="F202" s="5">
        <v>20360</v>
      </c>
      <c r="G202" s="5">
        <v>254</v>
      </c>
      <c r="H202" s="5">
        <v>726</v>
      </c>
      <c r="I202" s="5">
        <v>1995</v>
      </c>
      <c r="J202" s="7">
        <v>14280</v>
      </c>
      <c r="K202" s="5">
        <v>43726</v>
      </c>
      <c r="L202" s="5" t="s">
        <v>32</v>
      </c>
    </row>
    <row r="203" ht="14.25" customHeight="1">
      <c r="A203" s="5" t="s">
        <v>358</v>
      </c>
      <c r="B203" s="5" t="s">
        <v>19</v>
      </c>
      <c r="C203" s="8">
        <v>45921</v>
      </c>
      <c r="D203" s="5" t="s">
        <v>15</v>
      </c>
      <c r="E203" s="5" t="s">
        <v>169</v>
      </c>
      <c r="F203" s="5">
        <v>19680</v>
      </c>
      <c r="G203" s="5">
        <v>999</v>
      </c>
      <c r="H203" s="5">
        <v>838</v>
      </c>
      <c r="I203" s="5">
        <v>891</v>
      </c>
      <c r="J203" s="7">
        <v>29576</v>
      </c>
      <c r="K203" s="5">
        <v>129152</v>
      </c>
      <c r="L203" s="5" t="s">
        <v>21</v>
      </c>
    </row>
    <row r="204" ht="14.25" customHeight="1">
      <c r="A204" s="5" t="s">
        <v>359</v>
      </c>
      <c r="B204" s="5" t="s">
        <v>13</v>
      </c>
      <c r="C204" s="6" t="s">
        <v>360</v>
      </c>
      <c r="D204" s="5" t="s">
        <v>15</v>
      </c>
      <c r="E204" s="5" t="s">
        <v>42</v>
      </c>
      <c r="F204" s="5">
        <v>8229</v>
      </c>
      <c r="G204" s="5">
        <v>977</v>
      </c>
      <c r="H204" s="5">
        <v>152</v>
      </c>
      <c r="I204" s="5">
        <v>1633</v>
      </c>
      <c r="J204" s="7">
        <v>71447</v>
      </c>
      <c r="K204" s="5">
        <v>67723</v>
      </c>
      <c r="L204" s="5" t="s">
        <v>55</v>
      </c>
    </row>
    <row r="205" ht="14.25" customHeight="1">
      <c r="A205" s="5" t="s">
        <v>361</v>
      </c>
      <c r="B205" s="5" t="s">
        <v>23</v>
      </c>
      <c r="C205" s="8">
        <v>45922</v>
      </c>
      <c r="D205" s="5" t="s">
        <v>38</v>
      </c>
      <c r="E205" s="5" t="s">
        <v>35</v>
      </c>
      <c r="F205" s="5">
        <v>18509</v>
      </c>
      <c r="G205" s="5">
        <v>361</v>
      </c>
      <c r="H205" s="5">
        <v>578</v>
      </c>
      <c r="I205" s="5">
        <v>1409</v>
      </c>
      <c r="J205" s="7">
        <v>10569</v>
      </c>
      <c r="K205" s="5">
        <v>166969</v>
      </c>
      <c r="L205" s="5" t="s">
        <v>21</v>
      </c>
    </row>
    <row r="206" ht="14.25" customHeight="1">
      <c r="A206" s="5" t="s">
        <v>362</v>
      </c>
      <c r="B206" s="5" t="s">
        <v>19</v>
      </c>
      <c r="C206" s="8">
        <v>45923</v>
      </c>
      <c r="D206" s="5" t="s">
        <v>25</v>
      </c>
      <c r="E206" s="5" t="s">
        <v>62</v>
      </c>
      <c r="F206" s="5">
        <v>17147</v>
      </c>
      <c r="G206" s="5">
        <v>286</v>
      </c>
      <c r="H206" s="5">
        <v>291</v>
      </c>
      <c r="I206" s="5">
        <v>2439</v>
      </c>
      <c r="J206" s="7">
        <v>45631</v>
      </c>
      <c r="K206" s="5">
        <v>140494</v>
      </c>
      <c r="L206" s="5" t="s">
        <v>21</v>
      </c>
    </row>
    <row r="207" ht="14.25" customHeight="1">
      <c r="A207" s="5" t="s">
        <v>363</v>
      </c>
      <c r="B207" s="5" t="s">
        <v>23</v>
      </c>
      <c r="C207" s="6" t="s">
        <v>37</v>
      </c>
      <c r="D207" s="5" t="s">
        <v>15</v>
      </c>
      <c r="E207" s="5" t="s">
        <v>62</v>
      </c>
      <c r="F207" s="5">
        <v>6632</v>
      </c>
      <c r="G207" s="5">
        <v>254</v>
      </c>
      <c r="H207" s="5">
        <v>525</v>
      </c>
      <c r="I207" s="5">
        <v>1013</v>
      </c>
      <c r="J207" s="7">
        <v>13838</v>
      </c>
      <c r="K207" s="5">
        <v>180180</v>
      </c>
      <c r="L207" s="5" t="s">
        <v>17</v>
      </c>
    </row>
    <row r="208" ht="14.25" customHeight="1">
      <c r="A208" s="5" t="s">
        <v>364</v>
      </c>
      <c r="B208" s="5" t="s">
        <v>19</v>
      </c>
      <c r="C208" s="6" t="s">
        <v>365</v>
      </c>
      <c r="D208" s="5" t="s">
        <v>38</v>
      </c>
      <c r="E208" s="5" t="s">
        <v>85</v>
      </c>
      <c r="F208" s="5">
        <v>8288</v>
      </c>
      <c r="G208" s="5">
        <v>1401</v>
      </c>
      <c r="H208" s="5">
        <v>819</v>
      </c>
      <c r="I208" s="5">
        <v>1235</v>
      </c>
      <c r="J208" s="7">
        <v>33446</v>
      </c>
      <c r="K208" s="5">
        <v>248786</v>
      </c>
      <c r="L208" s="5" t="s">
        <v>17</v>
      </c>
    </row>
    <row r="209" ht="14.25" customHeight="1">
      <c r="A209" s="5" t="s">
        <v>366</v>
      </c>
      <c r="B209" s="5" t="s">
        <v>19</v>
      </c>
      <c r="C209" s="6" t="s">
        <v>37</v>
      </c>
      <c r="D209" s="5" t="s">
        <v>25</v>
      </c>
      <c r="E209" s="5" t="s">
        <v>20</v>
      </c>
      <c r="F209" s="5">
        <v>5596</v>
      </c>
      <c r="G209" s="5">
        <v>1231</v>
      </c>
      <c r="H209" s="5">
        <v>473</v>
      </c>
      <c r="I209" s="5">
        <v>2251</v>
      </c>
      <c r="J209" s="7">
        <v>43705</v>
      </c>
      <c r="K209" s="5">
        <v>75643</v>
      </c>
      <c r="L209" s="5" t="s">
        <v>17</v>
      </c>
    </row>
    <row r="210" ht="14.25" customHeight="1">
      <c r="A210" s="5" t="s">
        <v>367</v>
      </c>
      <c r="B210" s="5" t="s">
        <v>46</v>
      </c>
      <c r="C210" s="6" t="s">
        <v>368</v>
      </c>
      <c r="D210" s="5" t="s">
        <v>38</v>
      </c>
      <c r="E210" s="5" t="s">
        <v>31</v>
      </c>
      <c r="F210" s="5">
        <v>13475</v>
      </c>
      <c r="G210" s="5">
        <v>1032</v>
      </c>
      <c r="H210" s="5">
        <v>295</v>
      </c>
      <c r="I210" s="5">
        <v>541</v>
      </c>
      <c r="J210" s="7">
        <v>43666</v>
      </c>
      <c r="K210" s="5">
        <v>202396</v>
      </c>
      <c r="L210" s="5" t="s">
        <v>55</v>
      </c>
    </row>
    <row r="211" ht="14.25" customHeight="1">
      <c r="A211" s="5" t="s">
        <v>369</v>
      </c>
      <c r="B211" s="5" t="s">
        <v>23</v>
      </c>
      <c r="C211" s="6" t="s">
        <v>370</v>
      </c>
      <c r="D211" s="5" t="s">
        <v>30</v>
      </c>
      <c r="E211" s="5" t="s">
        <v>48</v>
      </c>
      <c r="F211" s="5">
        <v>8168</v>
      </c>
      <c r="G211" s="5">
        <v>512</v>
      </c>
      <c r="H211" s="5">
        <v>442</v>
      </c>
      <c r="I211" s="5">
        <v>2343</v>
      </c>
      <c r="J211" s="7">
        <v>2753</v>
      </c>
      <c r="K211" s="5">
        <v>143896</v>
      </c>
      <c r="L211" s="5" t="s">
        <v>55</v>
      </c>
    </row>
    <row r="212" ht="14.25" customHeight="1">
      <c r="A212" s="5" t="s">
        <v>371</v>
      </c>
      <c r="B212" s="5" t="s">
        <v>13</v>
      </c>
      <c r="C212" s="8">
        <v>45924</v>
      </c>
      <c r="D212" s="5" t="s">
        <v>15</v>
      </c>
      <c r="E212" s="5" t="s">
        <v>85</v>
      </c>
      <c r="F212" s="5">
        <v>11795</v>
      </c>
      <c r="G212" s="5">
        <v>958</v>
      </c>
      <c r="H212" s="5">
        <v>814</v>
      </c>
      <c r="I212" s="5">
        <v>301</v>
      </c>
      <c r="J212" s="7">
        <v>12564</v>
      </c>
      <c r="K212" s="5">
        <v>179999</v>
      </c>
      <c r="L212" s="5" t="s">
        <v>21</v>
      </c>
    </row>
    <row r="213" ht="14.25" customHeight="1">
      <c r="A213" s="5" t="s">
        <v>372</v>
      </c>
      <c r="B213" s="5" t="s">
        <v>13</v>
      </c>
      <c r="C213" s="6" t="s">
        <v>158</v>
      </c>
      <c r="D213" s="5" t="s">
        <v>30</v>
      </c>
      <c r="E213" s="5" t="s">
        <v>16</v>
      </c>
      <c r="F213" s="5">
        <v>9561</v>
      </c>
      <c r="G213" s="5">
        <v>642</v>
      </c>
      <c r="H213" s="5">
        <v>581</v>
      </c>
      <c r="I213" s="5">
        <v>2572</v>
      </c>
      <c r="J213" s="7">
        <v>38552</v>
      </c>
      <c r="K213" s="5">
        <v>133680</v>
      </c>
      <c r="L213" s="5" t="s">
        <v>17</v>
      </c>
    </row>
    <row r="214" ht="14.25" customHeight="1">
      <c r="A214" s="5" t="s">
        <v>373</v>
      </c>
      <c r="B214" s="5" t="s">
        <v>23</v>
      </c>
      <c r="C214" s="6" t="s">
        <v>374</v>
      </c>
      <c r="D214" s="5" t="s">
        <v>25</v>
      </c>
      <c r="E214" s="5" t="s">
        <v>48</v>
      </c>
      <c r="F214" s="5">
        <v>10258</v>
      </c>
      <c r="G214" s="5">
        <v>527</v>
      </c>
      <c r="H214" s="5">
        <v>854</v>
      </c>
      <c r="I214" s="5">
        <v>2068</v>
      </c>
      <c r="J214" s="7">
        <v>45632</v>
      </c>
      <c r="K214" s="5">
        <v>136546</v>
      </c>
      <c r="L214" s="5" t="s">
        <v>55</v>
      </c>
    </row>
    <row r="215" ht="14.25" customHeight="1">
      <c r="A215" s="5" t="s">
        <v>375</v>
      </c>
      <c r="B215" s="5" t="s">
        <v>13</v>
      </c>
      <c r="C215" s="6" t="s">
        <v>14</v>
      </c>
      <c r="D215" s="5" t="s">
        <v>30</v>
      </c>
      <c r="E215" s="5" t="s">
        <v>26</v>
      </c>
      <c r="F215" s="5">
        <v>18616</v>
      </c>
      <c r="G215" s="5">
        <v>1277</v>
      </c>
      <c r="H215" s="5">
        <v>734</v>
      </c>
      <c r="I215" s="5">
        <v>2249</v>
      </c>
      <c r="J215" s="7">
        <v>3399</v>
      </c>
      <c r="K215" s="5">
        <v>193515</v>
      </c>
      <c r="L215" s="5" t="s">
        <v>32</v>
      </c>
    </row>
    <row r="216" ht="14.25" customHeight="1">
      <c r="A216" s="5" t="s">
        <v>376</v>
      </c>
      <c r="B216" s="5" t="s">
        <v>13</v>
      </c>
      <c r="C216" s="8">
        <v>45925</v>
      </c>
      <c r="D216" s="5" t="s">
        <v>30</v>
      </c>
      <c r="E216" s="5" t="s">
        <v>70</v>
      </c>
      <c r="F216" s="5">
        <v>8371</v>
      </c>
      <c r="G216" s="5">
        <v>960</v>
      </c>
      <c r="H216" s="5">
        <v>548</v>
      </c>
      <c r="I216" s="5">
        <v>2936</v>
      </c>
      <c r="J216" s="7">
        <v>82543</v>
      </c>
      <c r="K216" s="5">
        <v>119973</v>
      </c>
      <c r="L216" s="5" t="s">
        <v>21</v>
      </c>
    </row>
    <row r="217" ht="14.25" customHeight="1">
      <c r="A217" s="5" t="s">
        <v>377</v>
      </c>
      <c r="B217" s="5" t="s">
        <v>23</v>
      </c>
      <c r="C217" s="6" t="s">
        <v>221</v>
      </c>
      <c r="D217" s="5" t="s">
        <v>25</v>
      </c>
      <c r="E217" s="5" t="s">
        <v>16</v>
      </c>
      <c r="F217" s="5">
        <v>22590</v>
      </c>
      <c r="G217" s="5">
        <v>1462</v>
      </c>
      <c r="H217" s="5">
        <v>966</v>
      </c>
      <c r="I217" s="5">
        <v>2463</v>
      </c>
      <c r="J217" s="7">
        <v>29689</v>
      </c>
      <c r="K217" s="5">
        <v>103449</v>
      </c>
      <c r="L217" s="5" t="s">
        <v>27</v>
      </c>
    </row>
    <row r="218" ht="14.25" customHeight="1">
      <c r="A218" s="5" t="s">
        <v>378</v>
      </c>
      <c r="B218" s="5" t="s">
        <v>19</v>
      </c>
      <c r="C218" s="8">
        <v>45926</v>
      </c>
      <c r="D218" s="5" t="s">
        <v>38</v>
      </c>
      <c r="E218" s="5" t="s">
        <v>16</v>
      </c>
      <c r="F218" s="5">
        <v>16369</v>
      </c>
      <c r="G218" s="5">
        <v>1452</v>
      </c>
      <c r="H218" s="5">
        <v>493</v>
      </c>
      <c r="I218" s="5">
        <v>1217</v>
      </c>
      <c r="J218" s="7">
        <v>91440</v>
      </c>
      <c r="K218" s="5">
        <v>149834</v>
      </c>
      <c r="L218" s="5" t="s">
        <v>21</v>
      </c>
    </row>
    <row r="219" ht="14.25" customHeight="1">
      <c r="A219" s="5" t="s">
        <v>379</v>
      </c>
      <c r="B219" s="5" t="s">
        <v>23</v>
      </c>
      <c r="C219" s="6" t="s">
        <v>380</v>
      </c>
      <c r="D219" s="5" t="s">
        <v>30</v>
      </c>
      <c r="E219" s="5" t="s">
        <v>85</v>
      </c>
      <c r="F219" s="5">
        <v>14910</v>
      </c>
      <c r="G219" s="5">
        <v>778</v>
      </c>
      <c r="H219" s="5">
        <v>289</v>
      </c>
      <c r="I219" s="5">
        <v>2541</v>
      </c>
      <c r="J219" s="7">
        <v>14309</v>
      </c>
      <c r="K219" s="5">
        <v>247815</v>
      </c>
      <c r="L219" s="5" t="s">
        <v>27</v>
      </c>
    </row>
    <row r="220" ht="14.25" customHeight="1">
      <c r="A220" s="5" t="s">
        <v>381</v>
      </c>
      <c r="B220" s="5" t="s">
        <v>19</v>
      </c>
      <c r="C220" s="6" t="s">
        <v>136</v>
      </c>
      <c r="D220" s="5" t="s">
        <v>38</v>
      </c>
      <c r="E220" s="5" t="s">
        <v>39</v>
      </c>
      <c r="F220" s="5">
        <v>9943</v>
      </c>
      <c r="G220" s="5">
        <v>1274</v>
      </c>
      <c r="H220" s="5">
        <v>336</v>
      </c>
      <c r="I220" s="5">
        <v>389</v>
      </c>
      <c r="J220" s="7">
        <v>6145</v>
      </c>
      <c r="K220" s="5">
        <v>231305</v>
      </c>
      <c r="L220" s="5" t="s">
        <v>17</v>
      </c>
    </row>
    <row r="221" ht="14.25" customHeight="1">
      <c r="A221" s="5" t="s">
        <v>382</v>
      </c>
      <c r="B221" s="5" t="s">
        <v>13</v>
      </c>
      <c r="C221" s="6" t="s">
        <v>383</v>
      </c>
      <c r="D221" s="5" t="s">
        <v>30</v>
      </c>
      <c r="E221" s="5" t="s">
        <v>20</v>
      </c>
      <c r="F221" s="5">
        <v>14199</v>
      </c>
      <c r="G221" s="5">
        <v>1206</v>
      </c>
      <c r="H221" s="5">
        <v>954</v>
      </c>
      <c r="I221" s="5">
        <v>2009</v>
      </c>
      <c r="J221" s="7">
        <v>8</v>
      </c>
      <c r="K221" s="5">
        <v>65537</v>
      </c>
      <c r="L221" s="5" t="s">
        <v>27</v>
      </c>
    </row>
    <row r="222" ht="14.25" customHeight="1">
      <c r="A222" s="5" t="s">
        <v>384</v>
      </c>
      <c r="B222" s="5" t="s">
        <v>13</v>
      </c>
      <c r="C222" s="6" t="s">
        <v>210</v>
      </c>
      <c r="D222" s="5" t="s">
        <v>38</v>
      </c>
      <c r="E222" s="5" t="s">
        <v>39</v>
      </c>
      <c r="F222" s="5">
        <v>17728</v>
      </c>
      <c r="G222" s="5">
        <v>1487</v>
      </c>
      <c r="H222" s="5">
        <v>210</v>
      </c>
      <c r="I222" s="5">
        <v>2469</v>
      </c>
      <c r="J222" s="7">
        <v>30565</v>
      </c>
      <c r="K222" s="5">
        <v>117576</v>
      </c>
      <c r="L222" s="5" t="s">
        <v>17</v>
      </c>
    </row>
    <row r="223" ht="14.25" customHeight="1">
      <c r="A223" s="5" t="s">
        <v>385</v>
      </c>
      <c r="B223" s="5" t="s">
        <v>13</v>
      </c>
      <c r="C223" s="6" t="s">
        <v>386</v>
      </c>
      <c r="D223" s="5" t="s">
        <v>25</v>
      </c>
      <c r="E223" s="5" t="s">
        <v>85</v>
      </c>
      <c r="F223" s="5">
        <v>8738</v>
      </c>
      <c r="G223" s="5">
        <v>295</v>
      </c>
      <c r="H223" s="5">
        <v>529</v>
      </c>
      <c r="I223" s="5">
        <v>442</v>
      </c>
      <c r="J223" s="7">
        <v>25286</v>
      </c>
      <c r="K223" s="5">
        <v>147522</v>
      </c>
      <c r="L223" s="5" t="s">
        <v>32</v>
      </c>
    </row>
    <row r="224" ht="14.25" customHeight="1">
      <c r="A224" s="5" t="s">
        <v>387</v>
      </c>
      <c r="B224" s="5" t="s">
        <v>46</v>
      </c>
      <c r="C224" s="6" t="s">
        <v>309</v>
      </c>
      <c r="D224" s="5" t="s">
        <v>30</v>
      </c>
      <c r="E224" s="5" t="s">
        <v>26</v>
      </c>
      <c r="F224" s="5">
        <v>17913</v>
      </c>
      <c r="G224" s="5">
        <v>1311</v>
      </c>
      <c r="H224" s="5">
        <v>859</v>
      </c>
      <c r="I224" s="5">
        <v>405</v>
      </c>
      <c r="J224" s="7">
        <v>59842</v>
      </c>
      <c r="K224" s="5">
        <v>62612</v>
      </c>
      <c r="L224" s="5" t="s">
        <v>27</v>
      </c>
    </row>
    <row r="225" ht="14.25" customHeight="1">
      <c r="A225" s="5" t="s">
        <v>388</v>
      </c>
      <c r="B225" s="5" t="s">
        <v>19</v>
      </c>
      <c r="C225" s="8">
        <v>45907</v>
      </c>
      <c r="D225" s="5" t="s">
        <v>25</v>
      </c>
      <c r="E225" s="5" t="s">
        <v>169</v>
      </c>
      <c r="F225" s="5">
        <v>4472</v>
      </c>
      <c r="G225" s="5">
        <v>1301</v>
      </c>
      <c r="H225" s="5">
        <v>956</v>
      </c>
      <c r="I225" s="5">
        <v>1186</v>
      </c>
      <c r="J225" s="7">
        <v>3363</v>
      </c>
      <c r="K225" s="5">
        <v>46471</v>
      </c>
      <c r="L225" s="5" t="s">
        <v>21</v>
      </c>
    </row>
    <row r="226" ht="14.25" customHeight="1">
      <c r="A226" s="5" t="s">
        <v>389</v>
      </c>
      <c r="B226" s="5" t="s">
        <v>46</v>
      </c>
      <c r="C226" s="6" t="s">
        <v>390</v>
      </c>
      <c r="D226" s="5" t="s">
        <v>30</v>
      </c>
      <c r="E226" s="5" t="s">
        <v>42</v>
      </c>
      <c r="F226" s="5">
        <v>21123</v>
      </c>
      <c r="G226" s="5">
        <v>1343</v>
      </c>
      <c r="H226" s="5">
        <v>589</v>
      </c>
      <c r="I226" s="5">
        <v>727</v>
      </c>
      <c r="J226" s="7">
        <v>87833</v>
      </c>
      <c r="K226" s="5">
        <v>206703</v>
      </c>
      <c r="L226" s="5" t="s">
        <v>17</v>
      </c>
    </row>
    <row r="227" ht="14.25" customHeight="1">
      <c r="A227" s="5" t="s">
        <v>391</v>
      </c>
      <c r="B227" s="5" t="s">
        <v>46</v>
      </c>
      <c r="C227" s="8">
        <v>45908</v>
      </c>
      <c r="D227" s="5" t="s">
        <v>25</v>
      </c>
      <c r="E227" s="5" t="s">
        <v>42</v>
      </c>
      <c r="F227" s="5">
        <v>23785</v>
      </c>
      <c r="G227" s="5">
        <v>1013</v>
      </c>
      <c r="H227" s="5">
        <v>468</v>
      </c>
      <c r="I227" s="5">
        <v>1628</v>
      </c>
      <c r="J227" s="7">
        <v>8272</v>
      </c>
      <c r="K227" s="5">
        <v>71348</v>
      </c>
      <c r="L227" s="5" t="s">
        <v>21</v>
      </c>
    </row>
    <row r="228" ht="14.25" customHeight="1">
      <c r="A228" s="5" t="s">
        <v>392</v>
      </c>
      <c r="B228" s="5" t="s">
        <v>23</v>
      </c>
      <c r="C228" s="6" t="s">
        <v>393</v>
      </c>
      <c r="D228" s="5" t="s">
        <v>25</v>
      </c>
      <c r="E228" s="5" t="s">
        <v>20</v>
      </c>
      <c r="F228" s="5">
        <v>17679</v>
      </c>
      <c r="G228" s="5">
        <v>690</v>
      </c>
      <c r="H228" s="5">
        <v>451</v>
      </c>
      <c r="I228" s="5">
        <v>2195</v>
      </c>
      <c r="J228" s="7">
        <v>4390</v>
      </c>
      <c r="K228" s="5">
        <v>235804</v>
      </c>
      <c r="L228" s="5" t="s">
        <v>55</v>
      </c>
    </row>
    <row r="229" ht="14.25" customHeight="1">
      <c r="A229" s="5" t="s">
        <v>394</v>
      </c>
      <c r="B229" s="5" t="s">
        <v>46</v>
      </c>
      <c r="C229" s="6" t="s">
        <v>395</v>
      </c>
      <c r="D229" s="5" t="s">
        <v>30</v>
      </c>
      <c r="E229" s="5" t="s">
        <v>26</v>
      </c>
      <c r="F229" s="5">
        <v>3761</v>
      </c>
      <c r="G229" s="5">
        <v>651</v>
      </c>
      <c r="H229" s="5">
        <v>493</v>
      </c>
      <c r="I229" s="5">
        <v>2294</v>
      </c>
      <c r="J229" s="7">
        <v>71696</v>
      </c>
      <c r="K229" s="5">
        <v>41177</v>
      </c>
      <c r="L229" s="5" t="s">
        <v>17</v>
      </c>
    </row>
    <row r="230" ht="14.25" customHeight="1">
      <c r="A230" s="5" t="s">
        <v>396</v>
      </c>
      <c r="B230" s="5" t="s">
        <v>23</v>
      </c>
      <c r="C230" s="6" t="s">
        <v>118</v>
      </c>
      <c r="D230" s="5" t="s">
        <v>30</v>
      </c>
      <c r="E230" s="5" t="s">
        <v>20</v>
      </c>
      <c r="F230" s="5">
        <v>12167</v>
      </c>
      <c r="G230" s="5">
        <v>364</v>
      </c>
      <c r="H230" s="5">
        <v>160</v>
      </c>
      <c r="I230" s="5">
        <v>616</v>
      </c>
      <c r="J230" s="7">
        <v>42228</v>
      </c>
      <c r="K230" s="5">
        <v>175832</v>
      </c>
      <c r="L230" s="5" t="s">
        <v>27</v>
      </c>
    </row>
    <row r="231" ht="14.25" customHeight="1">
      <c r="A231" s="5" t="s">
        <v>397</v>
      </c>
      <c r="B231" s="5" t="s">
        <v>23</v>
      </c>
      <c r="C231" s="6" t="s">
        <v>266</v>
      </c>
      <c r="D231" s="5" t="s">
        <v>30</v>
      </c>
      <c r="E231" s="5" t="s">
        <v>35</v>
      </c>
      <c r="F231" s="5">
        <v>12554</v>
      </c>
      <c r="G231" s="5">
        <v>381</v>
      </c>
      <c r="H231" s="5">
        <v>211</v>
      </c>
      <c r="I231" s="5">
        <v>2286</v>
      </c>
      <c r="J231" s="7">
        <v>50567</v>
      </c>
      <c r="K231" s="5">
        <v>72779</v>
      </c>
      <c r="L231" s="5" t="s">
        <v>17</v>
      </c>
    </row>
    <row r="232" ht="14.25" customHeight="1">
      <c r="A232" s="5" t="s">
        <v>398</v>
      </c>
      <c r="B232" s="5" t="s">
        <v>46</v>
      </c>
      <c r="C232" s="8">
        <v>45909</v>
      </c>
      <c r="D232" s="5" t="s">
        <v>15</v>
      </c>
      <c r="E232" s="5" t="s">
        <v>39</v>
      </c>
      <c r="F232" s="5">
        <v>19260</v>
      </c>
      <c r="G232" s="5">
        <v>668</v>
      </c>
      <c r="H232" s="5">
        <v>994</v>
      </c>
      <c r="I232" s="5">
        <v>934</v>
      </c>
      <c r="J232" s="7">
        <v>20509</v>
      </c>
      <c r="K232" s="5">
        <v>61636</v>
      </c>
      <c r="L232" s="5" t="s">
        <v>21</v>
      </c>
    </row>
    <row r="233" ht="14.25" customHeight="1">
      <c r="A233" s="5" t="s">
        <v>399</v>
      </c>
      <c r="B233" s="5" t="s">
        <v>19</v>
      </c>
      <c r="C233" s="6" t="s">
        <v>400</v>
      </c>
      <c r="D233" s="5" t="s">
        <v>38</v>
      </c>
      <c r="E233" s="5" t="s">
        <v>42</v>
      </c>
      <c r="F233" s="5">
        <v>16277</v>
      </c>
      <c r="G233" s="5">
        <v>1109</v>
      </c>
      <c r="H233" s="5">
        <v>375</v>
      </c>
      <c r="I233" s="5">
        <v>2225</v>
      </c>
      <c r="J233" s="7">
        <v>1044</v>
      </c>
      <c r="K233" s="5">
        <v>121889</v>
      </c>
      <c r="L233" s="5" t="s">
        <v>32</v>
      </c>
    </row>
    <row r="234" ht="14.25" customHeight="1">
      <c r="A234" s="5" t="s">
        <v>401</v>
      </c>
      <c r="B234" s="5" t="s">
        <v>19</v>
      </c>
      <c r="C234" s="6" t="s">
        <v>152</v>
      </c>
      <c r="D234" s="5" t="s">
        <v>15</v>
      </c>
      <c r="E234" s="5" t="s">
        <v>16</v>
      </c>
      <c r="F234" s="5">
        <v>5812</v>
      </c>
      <c r="G234" s="5">
        <v>934</v>
      </c>
      <c r="H234" s="5">
        <v>302</v>
      </c>
      <c r="I234" s="5">
        <v>2356</v>
      </c>
      <c r="J234" s="7">
        <v>37437</v>
      </c>
      <c r="K234" s="5">
        <v>93551</v>
      </c>
      <c r="L234" s="5" t="s">
        <v>17</v>
      </c>
    </row>
    <row r="235" ht="14.25" customHeight="1">
      <c r="A235" s="5" t="s">
        <v>402</v>
      </c>
      <c r="B235" s="5" t="s">
        <v>19</v>
      </c>
      <c r="C235" s="6" t="s">
        <v>403</v>
      </c>
      <c r="D235" s="5" t="s">
        <v>15</v>
      </c>
      <c r="E235" s="5" t="s">
        <v>39</v>
      </c>
      <c r="F235" s="5">
        <v>19844</v>
      </c>
      <c r="G235" s="5">
        <v>1022</v>
      </c>
      <c r="H235" s="5">
        <v>860</v>
      </c>
      <c r="I235" s="5">
        <v>2570</v>
      </c>
      <c r="J235" s="7">
        <v>23719</v>
      </c>
      <c r="K235" s="5">
        <v>182628</v>
      </c>
      <c r="L235" s="5" t="s">
        <v>27</v>
      </c>
    </row>
    <row r="236" ht="14.25" customHeight="1">
      <c r="A236" s="5" t="s">
        <v>404</v>
      </c>
      <c r="B236" s="5" t="s">
        <v>19</v>
      </c>
      <c r="C236" s="6" t="s">
        <v>337</v>
      </c>
      <c r="D236" s="5" t="s">
        <v>25</v>
      </c>
      <c r="E236" s="5" t="s">
        <v>31</v>
      </c>
      <c r="F236" s="5">
        <v>20117</v>
      </c>
      <c r="G236" s="5">
        <v>1143</v>
      </c>
      <c r="H236" s="5">
        <v>713</v>
      </c>
      <c r="I236" s="5">
        <v>1739</v>
      </c>
      <c r="J236" s="7">
        <v>34444</v>
      </c>
      <c r="K236" s="5">
        <v>198670</v>
      </c>
      <c r="L236" s="5" t="s">
        <v>55</v>
      </c>
    </row>
    <row r="237" ht="14.25" customHeight="1">
      <c r="A237" s="5" t="s">
        <v>405</v>
      </c>
      <c r="B237" s="5" t="s">
        <v>19</v>
      </c>
      <c r="C237" s="6" t="s">
        <v>64</v>
      </c>
      <c r="D237" s="5" t="s">
        <v>30</v>
      </c>
      <c r="E237" s="5" t="s">
        <v>70</v>
      </c>
      <c r="F237" s="5">
        <v>3605</v>
      </c>
      <c r="G237" s="5">
        <v>206</v>
      </c>
      <c r="H237" s="5">
        <v>921</v>
      </c>
      <c r="I237" s="5">
        <v>852</v>
      </c>
      <c r="J237" s="7">
        <v>11660</v>
      </c>
      <c r="K237" s="5">
        <v>182635</v>
      </c>
      <c r="L237" s="5" t="s">
        <v>32</v>
      </c>
    </row>
    <row r="238" ht="14.25" customHeight="1">
      <c r="A238" s="5" t="s">
        <v>406</v>
      </c>
      <c r="B238" s="5" t="s">
        <v>46</v>
      </c>
      <c r="C238" s="6" t="s">
        <v>290</v>
      </c>
      <c r="D238" s="5" t="s">
        <v>38</v>
      </c>
      <c r="E238" s="5" t="s">
        <v>26</v>
      </c>
      <c r="F238" s="5">
        <v>7622</v>
      </c>
      <c r="G238" s="5">
        <v>529</v>
      </c>
      <c r="H238" s="5">
        <v>720</v>
      </c>
      <c r="I238" s="5">
        <v>1015</v>
      </c>
      <c r="J238" s="7">
        <v>71322</v>
      </c>
      <c r="K238" s="5">
        <v>86819</v>
      </c>
      <c r="L238" s="5" t="s">
        <v>55</v>
      </c>
    </row>
    <row r="239" ht="14.25" customHeight="1">
      <c r="A239" s="5" t="s">
        <v>407</v>
      </c>
      <c r="B239" s="5" t="s">
        <v>46</v>
      </c>
      <c r="C239" s="6" t="s">
        <v>408</v>
      </c>
      <c r="D239" s="5" t="s">
        <v>25</v>
      </c>
      <c r="E239" s="5" t="s">
        <v>48</v>
      </c>
      <c r="F239" s="5">
        <v>8767</v>
      </c>
      <c r="G239" s="5">
        <v>974</v>
      </c>
      <c r="H239" s="5">
        <v>733</v>
      </c>
      <c r="I239" s="5">
        <v>1587</v>
      </c>
      <c r="J239" s="7">
        <v>74927</v>
      </c>
      <c r="K239" s="5">
        <v>113770</v>
      </c>
      <c r="L239" s="5" t="s">
        <v>17</v>
      </c>
    </row>
    <row r="240" ht="14.25" customHeight="1">
      <c r="A240" s="5" t="s">
        <v>409</v>
      </c>
      <c r="B240" s="5" t="s">
        <v>13</v>
      </c>
      <c r="C240" s="8">
        <v>45910</v>
      </c>
      <c r="D240" s="5" t="s">
        <v>15</v>
      </c>
      <c r="E240" s="5" t="s">
        <v>20</v>
      </c>
      <c r="F240" s="5">
        <v>13613</v>
      </c>
      <c r="G240" s="5">
        <v>350</v>
      </c>
      <c r="H240" s="5">
        <v>809</v>
      </c>
      <c r="I240" s="5">
        <v>2013</v>
      </c>
      <c r="J240" s="7">
        <v>20471</v>
      </c>
      <c r="K240" s="5">
        <v>198038</v>
      </c>
      <c r="L240" s="5" t="s">
        <v>21</v>
      </c>
    </row>
    <row r="241" ht="14.25" customHeight="1">
      <c r="A241" s="5" t="s">
        <v>410</v>
      </c>
      <c r="B241" s="5" t="s">
        <v>19</v>
      </c>
      <c r="C241" s="8">
        <v>45911</v>
      </c>
      <c r="D241" s="5" t="s">
        <v>30</v>
      </c>
      <c r="E241" s="5" t="s">
        <v>39</v>
      </c>
      <c r="F241" s="5">
        <v>21901</v>
      </c>
      <c r="G241" s="5">
        <v>1308</v>
      </c>
      <c r="H241" s="5">
        <v>724</v>
      </c>
      <c r="I241" s="5">
        <v>2183</v>
      </c>
      <c r="J241" s="7">
        <v>15996</v>
      </c>
      <c r="K241" s="5">
        <v>230961</v>
      </c>
      <c r="L241" s="5" t="s">
        <v>21</v>
      </c>
    </row>
    <row r="242" ht="14.25" customHeight="1">
      <c r="A242" s="5" t="s">
        <v>411</v>
      </c>
      <c r="B242" s="5" t="s">
        <v>46</v>
      </c>
      <c r="C242" s="6" t="s">
        <v>412</v>
      </c>
      <c r="D242" s="5" t="s">
        <v>25</v>
      </c>
      <c r="E242" s="5" t="s">
        <v>70</v>
      </c>
      <c r="F242" s="5">
        <v>12589</v>
      </c>
      <c r="G242" s="5">
        <v>346</v>
      </c>
      <c r="H242" s="5">
        <v>459</v>
      </c>
      <c r="I242" s="5">
        <v>1407</v>
      </c>
      <c r="J242" s="7">
        <v>29254</v>
      </c>
      <c r="K242" s="5">
        <v>198059</v>
      </c>
      <c r="L242" s="5" t="s">
        <v>27</v>
      </c>
    </row>
    <row r="243" ht="14.25" customHeight="1">
      <c r="A243" s="5" t="s">
        <v>413</v>
      </c>
      <c r="B243" s="5" t="s">
        <v>13</v>
      </c>
      <c r="C243" s="8">
        <v>45912</v>
      </c>
      <c r="D243" s="5" t="s">
        <v>30</v>
      </c>
      <c r="E243" s="5" t="s">
        <v>39</v>
      </c>
      <c r="F243" s="5">
        <v>15918</v>
      </c>
      <c r="G243" s="5">
        <v>1114</v>
      </c>
      <c r="H243" s="5">
        <v>392</v>
      </c>
      <c r="I243" s="5">
        <v>1641</v>
      </c>
      <c r="J243" s="7">
        <v>28044</v>
      </c>
      <c r="K243" s="5">
        <v>118714</v>
      </c>
      <c r="L243" s="5" t="s">
        <v>21</v>
      </c>
    </row>
    <row r="244" ht="14.25" customHeight="1">
      <c r="A244" s="5" t="s">
        <v>414</v>
      </c>
      <c r="B244" s="5" t="s">
        <v>19</v>
      </c>
      <c r="C244" s="6" t="s">
        <v>415</v>
      </c>
      <c r="D244" s="5" t="s">
        <v>25</v>
      </c>
      <c r="E244" s="5" t="s">
        <v>48</v>
      </c>
      <c r="F244" s="5">
        <v>22119</v>
      </c>
      <c r="G244" s="5">
        <v>899</v>
      </c>
      <c r="H244" s="5">
        <v>642</v>
      </c>
      <c r="I244" s="5">
        <v>410</v>
      </c>
      <c r="J244" s="7">
        <v>49490</v>
      </c>
      <c r="K244" s="5">
        <v>229420</v>
      </c>
      <c r="L244" s="5" t="s">
        <v>32</v>
      </c>
    </row>
    <row r="245" ht="14.25" customHeight="1">
      <c r="A245" s="5" t="s">
        <v>416</v>
      </c>
      <c r="B245" s="5" t="s">
        <v>23</v>
      </c>
      <c r="C245" s="8">
        <v>45913</v>
      </c>
      <c r="D245" s="5" t="s">
        <v>30</v>
      </c>
      <c r="E245" s="5" t="s">
        <v>70</v>
      </c>
      <c r="F245" s="5">
        <v>15046</v>
      </c>
      <c r="G245" s="5">
        <v>281</v>
      </c>
      <c r="H245" s="5">
        <v>515</v>
      </c>
      <c r="I245" s="5">
        <v>550</v>
      </c>
      <c r="J245" s="7">
        <v>22583</v>
      </c>
      <c r="K245" s="5">
        <v>64596</v>
      </c>
      <c r="L245" s="5" t="s">
        <v>21</v>
      </c>
    </row>
    <row r="246" ht="14.25" customHeight="1">
      <c r="A246" s="5" t="s">
        <v>417</v>
      </c>
      <c r="B246" s="5" t="s">
        <v>13</v>
      </c>
      <c r="C246" s="6" t="s">
        <v>418</v>
      </c>
      <c r="D246" s="5" t="s">
        <v>15</v>
      </c>
      <c r="E246" s="5" t="s">
        <v>31</v>
      </c>
      <c r="F246" s="5">
        <v>4590</v>
      </c>
      <c r="G246" s="5">
        <v>713</v>
      </c>
      <c r="H246" s="5">
        <v>479</v>
      </c>
      <c r="I246" s="5">
        <v>2730</v>
      </c>
      <c r="J246" s="7">
        <v>41050</v>
      </c>
      <c r="K246" s="5">
        <v>204246</v>
      </c>
      <c r="L246" s="5" t="s">
        <v>27</v>
      </c>
    </row>
    <row r="247" ht="14.25" customHeight="1">
      <c r="A247" s="5" t="s">
        <v>419</v>
      </c>
      <c r="B247" s="5" t="s">
        <v>46</v>
      </c>
      <c r="C247" s="6" t="s">
        <v>420</v>
      </c>
      <c r="D247" s="5" t="s">
        <v>38</v>
      </c>
      <c r="E247" s="5" t="s">
        <v>48</v>
      </c>
      <c r="F247" s="5">
        <v>19447</v>
      </c>
      <c r="G247" s="5">
        <v>1014</v>
      </c>
      <c r="H247" s="5">
        <v>256</v>
      </c>
      <c r="I247" s="5">
        <v>2354</v>
      </c>
      <c r="J247" s="7">
        <v>5472</v>
      </c>
      <c r="K247" s="5">
        <v>104106</v>
      </c>
      <c r="L247" s="5" t="s">
        <v>17</v>
      </c>
    </row>
    <row r="248" ht="14.25" customHeight="1">
      <c r="A248" s="5" t="s">
        <v>421</v>
      </c>
      <c r="B248" s="5" t="s">
        <v>23</v>
      </c>
      <c r="C248" s="6" t="s">
        <v>422</v>
      </c>
      <c r="D248" s="5" t="s">
        <v>15</v>
      </c>
      <c r="E248" s="5" t="s">
        <v>85</v>
      </c>
      <c r="F248" s="5">
        <v>6324</v>
      </c>
      <c r="G248" s="5">
        <v>908</v>
      </c>
      <c r="H248" s="5">
        <v>375</v>
      </c>
      <c r="I248" s="5">
        <v>758</v>
      </c>
      <c r="J248" s="7">
        <v>34850</v>
      </c>
      <c r="K248" s="5">
        <v>241039</v>
      </c>
      <c r="L248" s="5" t="s">
        <v>17</v>
      </c>
    </row>
    <row r="249" ht="14.25" customHeight="1">
      <c r="A249" s="5" t="s">
        <v>423</v>
      </c>
      <c r="B249" s="5" t="s">
        <v>23</v>
      </c>
      <c r="C249" s="8">
        <v>45914</v>
      </c>
      <c r="D249" s="5" t="s">
        <v>38</v>
      </c>
      <c r="E249" s="5" t="s">
        <v>62</v>
      </c>
      <c r="F249" s="5">
        <v>12787</v>
      </c>
      <c r="G249" s="5">
        <v>945</v>
      </c>
      <c r="H249" s="5">
        <v>974</v>
      </c>
      <c r="I249" s="5">
        <v>1407</v>
      </c>
      <c r="J249" s="7">
        <v>4037</v>
      </c>
      <c r="K249" s="5">
        <v>99182</v>
      </c>
      <c r="L249" s="5" t="s">
        <v>21</v>
      </c>
    </row>
    <row r="250" ht="14.25" customHeight="1">
      <c r="A250" s="5" t="s">
        <v>424</v>
      </c>
      <c r="B250" s="5" t="s">
        <v>23</v>
      </c>
      <c r="C250" s="6" t="s">
        <v>425</v>
      </c>
      <c r="D250" s="5" t="s">
        <v>30</v>
      </c>
      <c r="E250" s="5" t="s">
        <v>85</v>
      </c>
      <c r="F250" s="5">
        <v>11111</v>
      </c>
      <c r="G250" s="5">
        <v>1222</v>
      </c>
      <c r="H250" s="5">
        <v>367</v>
      </c>
      <c r="I250" s="5">
        <v>507</v>
      </c>
      <c r="J250" s="7">
        <v>14129</v>
      </c>
      <c r="K250" s="5">
        <v>127163</v>
      </c>
      <c r="L250" s="5" t="s">
        <v>55</v>
      </c>
    </row>
    <row r="251" ht="14.25" customHeight="1">
      <c r="A251" s="5" t="s">
        <v>426</v>
      </c>
      <c r="B251" s="5" t="s">
        <v>13</v>
      </c>
      <c r="C251" s="6" t="s">
        <v>134</v>
      </c>
      <c r="D251" s="5" t="s">
        <v>25</v>
      </c>
      <c r="E251" s="5" t="s">
        <v>42</v>
      </c>
      <c r="F251" s="5">
        <v>7342</v>
      </c>
      <c r="G251" s="5">
        <v>906</v>
      </c>
      <c r="H251" s="5">
        <v>902</v>
      </c>
      <c r="I251" s="5">
        <v>1199</v>
      </c>
      <c r="J251" s="7">
        <v>68488</v>
      </c>
      <c r="K251" s="5">
        <v>79310</v>
      </c>
      <c r="L251" s="5" t="s">
        <v>17</v>
      </c>
    </row>
    <row r="252" ht="14.25" customHeight="1">
      <c r="A252" s="5" t="s">
        <v>427</v>
      </c>
      <c r="B252" s="5" t="s">
        <v>46</v>
      </c>
      <c r="C252" s="8">
        <v>45915</v>
      </c>
      <c r="D252" s="5" t="s">
        <v>15</v>
      </c>
      <c r="E252" s="5" t="s">
        <v>39</v>
      </c>
      <c r="F252" s="5">
        <v>18389</v>
      </c>
      <c r="G252" s="5">
        <v>670</v>
      </c>
      <c r="H252" s="5">
        <v>655</v>
      </c>
      <c r="I252" s="5">
        <v>321</v>
      </c>
      <c r="J252" s="7">
        <v>21869</v>
      </c>
      <c r="K252" s="5">
        <v>96088</v>
      </c>
      <c r="L252" s="5" t="s">
        <v>21</v>
      </c>
    </row>
    <row r="253" ht="14.25" customHeight="1">
      <c r="A253" s="5" t="s">
        <v>428</v>
      </c>
      <c r="B253" s="5" t="s">
        <v>23</v>
      </c>
      <c r="C253" s="6" t="s">
        <v>313</v>
      </c>
      <c r="D253" s="5" t="s">
        <v>38</v>
      </c>
      <c r="E253" s="5" t="s">
        <v>62</v>
      </c>
      <c r="F253" s="5">
        <v>10659</v>
      </c>
      <c r="G253" s="5">
        <v>1342</v>
      </c>
      <c r="H253" s="5">
        <v>408</v>
      </c>
      <c r="I253" s="5">
        <v>709</v>
      </c>
      <c r="J253" s="7">
        <v>16309</v>
      </c>
      <c r="K253" s="5">
        <v>168803</v>
      </c>
      <c r="L253" s="5" t="s">
        <v>27</v>
      </c>
    </row>
    <row r="254" ht="14.25" customHeight="1">
      <c r="A254" s="5" t="s">
        <v>429</v>
      </c>
      <c r="B254" s="5" t="s">
        <v>19</v>
      </c>
      <c r="C254" s="8">
        <v>45916</v>
      </c>
      <c r="D254" s="5" t="s">
        <v>15</v>
      </c>
      <c r="E254" s="5" t="s">
        <v>85</v>
      </c>
      <c r="F254" s="5">
        <v>16043</v>
      </c>
      <c r="G254" s="5">
        <v>595</v>
      </c>
      <c r="H254" s="5">
        <v>923</v>
      </c>
      <c r="I254" s="5">
        <v>1194</v>
      </c>
      <c r="J254" s="7">
        <v>52613</v>
      </c>
      <c r="K254" s="5">
        <v>179978</v>
      </c>
      <c r="L254" s="5" t="s">
        <v>21</v>
      </c>
    </row>
    <row r="255" ht="14.25" customHeight="1">
      <c r="A255" s="5" t="s">
        <v>430</v>
      </c>
      <c r="B255" s="5" t="s">
        <v>23</v>
      </c>
      <c r="C255" s="6" t="s">
        <v>431</v>
      </c>
      <c r="D255" s="5" t="s">
        <v>38</v>
      </c>
      <c r="E255" s="5" t="s">
        <v>62</v>
      </c>
      <c r="F255" s="5">
        <v>24350</v>
      </c>
      <c r="G255" s="5">
        <v>460</v>
      </c>
      <c r="H255" s="5">
        <v>666</v>
      </c>
      <c r="I255" s="5">
        <v>814</v>
      </c>
      <c r="J255" s="7">
        <v>21120</v>
      </c>
      <c r="K255" s="5">
        <v>76914</v>
      </c>
      <c r="L255" s="5" t="s">
        <v>17</v>
      </c>
    </row>
    <row r="256" ht="14.25" customHeight="1">
      <c r="A256" s="5" t="s">
        <v>432</v>
      </c>
      <c r="B256" s="5" t="s">
        <v>23</v>
      </c>
      <c r="C256" s="6" t="s">
        <v>433</v>
      </c>
      <c r="D256" s="5" t="s">
        <v>15</v>
      </c>
      <c r="E256" s="5" t="s">
        <v>169</v>
      </c>
      <c r="F256" s="5">
        <v>10837</v>
      </c>
      <c r="G256" s="5">
        <v>1004</v>
      </c>
      <c r="H256" s="5">
        <v>922</v>
      </c>
      <c r="I256" s="5">
        <v>1108</v>
      </c>
      <c r="J256" s="7">
        <v>36807</v>
      </c>
      <c r="K256" s="5">
        <v>150350</v>
      </c>
      <c r="L256" s="5" t="s">
        <v>27</v>
      </c>
    </row>
    <row r="257" ht="14.25" customHeight="1">
      <c r="A257" s="5" t="s">
        <v>434</v>
      </c>
      <c r="B257" s="5" t="s">
        <v>13</v>
      </c>
      <c r="C257" s="8">
        <v>45917</v>
      </c>
      <c r="D257" s="5" t="s">
        <v>38</v>
      </c>
      <c r="E257" s="5" t="s">
        <v>39</v>
      </c>
      <c r="F257" s="5">
        <v>2117</v>
      </c>
      <c r="G257" s="5">
        <v>1133</v>
      </c>
      <c r="H257" s="5">
        <v>203</v>
      </c>
      <c r="I257" s="5">
        <v>1173</v>
      </c>
      <c r="J257" s="7">
        <v>40125</v>
      </c>
      <c r="K257" s="5">
        <v>85379</v>
      </c>
      <c r="L257" s="5" t="s">
        <v>21</v>
      </c>
    </row>
    <row r="258" ht="14.25" customHeight="1">
      <c r="A258" s="5" t="s">
        <v>435</v>
      </c>
      <c r="B258" s="5" t="s">
        <v>13</v>
      </c>
      <c r="C258" s="6" t="s">
        <v>243</v>
      </c>
      <c r="D258" s="5" t="s">
        <v>38</v>
      </c>
      <c r="E258" s="5" t="s">
        <v>62</v>
      </c>
      <c r="F258" s="5">
        <v>15917</v>
      </c>
      <c r="G258" s="5">
        <v>1479</v>
      </c>
      <c r="H258" s="5">
        <v>196</v>
      </c>
      <c r="I258" s="5">
        <v>313</v>
      </c>
      <c r="J258" s="7">
        <v>48524</v>
      </c>
      <c r="K258" s="5">
        <v>249684</v>
      </c>
      <c r="L258" s="5" t="s">
        <v>32</v>
      </c>
    </row>
    <row r="259" ht="14.25" customHeight="1">
      <c r="A259" s="5" t="s">
        <v>436</v>
      </c>
      <c r="B259" s="5" t="s">
        <v>46</v>
      </c>
      <c r="C259" s="6" t="s">
        <v>437</v>
      </c>
      <c r="D259" s="5" t="s">
        <v>30</v>
      </c>
      <c r="E259" s="5" t="s">
        <v>16</v>
      </c>
      <c r="F259" s="5">
        <v>20935</v>
      </c>
      <c r="G259" s="5">
        <v>1104</v>
      </c>
      <c r="H259" s="5">
        <v>876</v>
      </c>
      <c r="I259" s="5">
        <v>1270</v>
      </c>
      <c r="J259" s="7">
        <v>21454</v>
      </c>
      <c r="K259" s="5">
        <v>208722</v>
      </c>
      <c r="L259" s="5" t="s">
        <v>27</v>
      </c>
    </row>
    <row r="260" ht="14.25" customHeight="1">
      <c r="A260" s="5" t="s">
        <v>438</v>
      </c>
      <c r="B260" s="5" t="s">
        <v>19</v>
      </c>
      <c r="C260" s="6" t="s">
        <v>439</v>
      </c>
      <c r="D260" s="5" t="s">
        <v>38</v>
      </c>
      <c r="E260" s="5" t="s">
        <v>20</v>
      </c>
      <c r="F260" s="5">
        <v>16309</v>
      </c>
      <c r="G260" s="5">
        <v>1449</v>
      </c>
      <c r="H260" s="5">
        <v>838</v>
      </c>
      <c r="I260" s="5">
        <v>2434</v>
      </c>
      <c r="J260" s="7">
        <v>2940</v>
      </c>
      <c r="K260" s="5">
        <v>217953</v>
      </c>
      <c r="L260" s="5" t="s">
        <v>32</v>
      </c>
    </row>
    <row r="261" ht="14.25" customHeight="1">
      <c r="A261" s="5" t="s">
        <v>440</v>
      </c>
      <c r="B261" s="5" t="s">
        <v>13</v>
      </c>
      <c r="C261" s="6" t="s">
        <v>441</v>
      </c>
      <c r="D261" s="5" t="s">
        <v>30</v>
      </c>
      <c r="E261" s="5" t="s">
        <v>20</v>
      </c>
      <c r="F261" s="5">
        <v>15234</v>
      </c>
      <c r="G261" s="5">
        <v>1276</v>
      </c>
      <c r="H261" s="5">
        <v>670</v>
      </c>
      <c r="I261" s="5">
        <v>1860</v>
      </c>
      <c r="J261" s="7">
        <v>60397</v>
      </c>
      <c r="K261" s="5">
        <v>86413</v>
      </c>
      <c r="L261" s="5" t="s">
        <v>55</v>
      </c>
    </row>
    <row r="262" ht="14.25" customHeight="1">
      <c r="A262" s="5" t="s">
        <v>442</v>
      </c>
      <c r="B262" s="5" t="s">
        <v>23</v>
      </c>
      <c r="C262" s="6" t="s">
        <v>443</v>
      </c>
      <c r="D262" s="5" t="s">
        <v>38</v>
      </c>
      <c r="E262" s="5" t="s">
        <v>16</v>
      </c>
      <c r="F262" s="5">
        <v>7560</v>
      </c>
      <c r="G262" s="5">
        <v>1139</v>
      </c>
      <c r="H262" s="5">
        <v>248</v>
      </c>
      <c r="I262" s="5">
        <v>1624</v>
      </c>
      <c r="J262" s="7">
        <v>72237</v>
      </c>
      <c r="K262" s="5">
        <v>177084</v>
      </c>
      <c r="L262" s="5" t="s">
        <v>27</v>
      </c>
    </row>
    <row r="263" ht="14.25" customHeight="1">
      <c r="A263" s="5" t="s">
        <v>444</v>
      </c>
      <c r="B263" s="5" t="s">
        <v>46</v>
      </c>
      <c r="C263" s="6" t="s">
        <v>412</v>
      </c>
      <c r="D263" s="5" t="s">
        <v>25</v>
      </c>
      <c r="E263" s="5" t="s">
        <v>70</v>
      </c>
      <c r="F263" s="5">
        <v>22673</v>
      </c>
      <c r="G263" s="5">
        <v>1053</v>
      </c>
      <c r="H263" s="5">
        <v>169</v>
      </c>
      <c r="I263" s="5">
        <v>1566</v>
      </c>
      <c r="J263" s="7">
        <v>9417</v>
      </c>
      <c r="K263" s="5">
        <v>221187</v>
      </c>
      <c r="L263" s="5" t="s">
        <v>32</v>
      </c>
    </row>
    <row r="264" ht="14.25" customHeight="1">
      <c r="A264" s="5" t="s">
        <v>445</v>
      </c>
      <c r="B264" s="5" t="s">
        <v>23</v>
      </c>
      <c r="C264" s="6" t="s">
        <v>446</v>
      </c>
      <c r="D264" s="5" t="s">
        <v>25</v>
      </c>
      <c r="E264" s="5" t="s">
        <v>35</v>
      </c>
      <c r="F264" s="5">
        <v>2846</v>
      </c>
      <c r="G264" s="5">
        <v>792</v>
      </c>
      <c r="H264" s="5">
        <v>902</v>
      </c>
      <c r="I264" s="5">
        <v>2469</v>
      </c>
      <c r="J264" s="7">
        <v>12130</v>
      </c>
      <c r="K264" s="5">
        <v>47151</v>
      </c>
      <c r="L264" s="5" t="s">
        <v>17</v>
      </c>
    </row>
    <row r="265" ht="14.25" customHeight="1">
      <c r="A265" s="5" t="s">
        <v>447</v>
      </c>
      <c r="B265" s="5" t="s">
        <v>23</v>
      </c>
      <c r="C265" s="6" t="s">
        <v>448</v>
      </c>
      <c r="D265" s="5" t="s">
        <v>25</v>
      </c>
      <c r="E265" s="5" t="s">
        <v>70</v>
      </c>
      <c r="F265" s="5">
        <v>12954</v>
      </c>
      <c r="G265" s="5">
        <v>913</v>
      </c>
      <c r="H265" s="5">
        <v>722</v>
      </c>
      <c r="I265" s="5">
        <v>1049</v>
      </c>
      <c r="J265" s="7">
        <v>475</v>
      </c>
      <c r="K265" s="5">
        <v>97716</v>
      </c>
      <c r="L265" s="5" t="s">
        <v>17</v>
      </c>
    </row>
    <row r="266" ht="14.25" customHeight="1">
      <c r="A266" s="5" t="s">
        <v>449</v>
      </c>
      <c r="B266" s="5" t="s">
        <v>13</v>
      </c>
      <c r="C266" s="6" t="s">
        <v>450</v>
      </c>
      <c r="D266" s="5" t="s">
        <v>38</v>
      </c>
      <c r="E266" s="5" t="s">
        <v>48</v>
      </c>
      <c r="F266" s="5">
        <v>15703</v>
      </c>
      <c r="G266" s="5">
        <v>1381</v>
      </c>
      <c r="H266" s="5">
        <v>639</v>
      </c>
      <c r="I266" s="5">
        <v>984</v>
      </c>
      <c r="J266" s="7">
        <v>10967</v>
      </c>
      <c r="K266" s="5">
        <v>133747</v>
      </c>
      <c r="L266" s="5" t="s">
        <v>55</v>
      </c>
    </row>
    <row r="267" ht="14.25" customHeight="1">
      <c r="A267" s="5" t="s">
        <v>451</v>
      </c>
      <c r="B267" s="5" t="s">
        <v>46</v>
      </c>
      <c r="C267" s="6" t="s">
        <v>452</v>
      </c>
      <c r="D267" s="5" t="s">
        <v>30</v>
      </c>
      <c r="E267" s="5" t="s">
        <v>48</v>
      </c>
      <c r="F267" s="5">
        <v>17385</v>
      </c>
      <c r="G267" s="5">
        <v>831</v>
      </c>
      <c r="H267" s="5">
        <v>568</v>
      </c>
      <c r="I267" s="5">
        <v>2227</v>
      </c>
      <c r="J267" s="7">
        <v>49351</v>
      </c>
      <c r="K267" s="5">
        <v>207450</v>
      </c>
      <c r="L267" s="5" t="s">
        <v>27</v>
      </c>
    </row>
    <row r="268" ht="14.25" customHeight="1">
      <c r="A268" s="5" t="s">
        <v>453</v>
      </c>
      <c r="B268" s="5" t="s">
        <v>19</v>
      </c>
      <c r="C268" s="6" t="s">
        <v>342</v>
      </c>
      <c r="D268" s="5" t="s">
        <v>30</v>
      </c>
      <c r="E268" s="5" t="s">
        <v>62</v>
      </c>
      <c r="F268" s="5">
        <v>15746</v>
      </c>
      <c r="G268" s="5">
        <v>258</v>
      </c>
      <c r="H268" s="5">
        <v>839</v>
      </c>
      <c r="I268" s="5">
        <v>2656</v>
      </c>
      <c r="J268" s="7">
        <v>66614</v>
      </c>
      <c r="K268" s="5">
        <v>213724</v>
      </c>
      <c r="L268" s="5" t="s">
        <v>27</v>
      </c>
    </row>
    <row r="269" ht="14.25" customHeight="1">
      <c r="A269" s="5" t="s">
        <v>454</v>
      </c>
      <c r="B269" s="5" t="s">
        <v>19</v>
      </c>
      <c r="C269" s="6" t="s">
        <v>455</v>
      </c>
      <c r="D269" s="5" t="s">
        <v>38</v>
      </c>
      <c r="E269" s="5" t="s">
        <v>85</v>
      </c>
      <c r="F269" s="5">
        <v>24700</v>
      </c>
      <c r="G269" s="5">
        <v>327</v>
      </c>
      <c r="H269" s="5">
        <v>999</v>
      </c>
      <c r="I269" s="5">
        <v>994</v>
      </c>
      <c r="J269" s="7">
        <v>59400</v>
      </c>
      <c r="K269" s="5">
        <v>243502</v>
      </c>
      <c r="L269" s="5" t="s">
        <v>27</v>
      </c>
    </row>
    <row r="270" ht="14.25" customHeight="1">
      <c r="A270" s="5" t="s">
        <v>456</v>
      </c>
      <c r="B270" s="5" t="s">
        <v>13</v>
      </c>
      <c r="C270" s="6" t="s">
        <v>457</v>
      </c>
      <c r="D270" s="5" t="s">
        <v>25</v>
      </c>
      <c r="E270" s="5" t="s">
        <v>85</v>
      </c>
      <c r="F270" s="5">
        <v>8469</v>
      </c>
      <c r="G270" s="5">
        <v>935</v>
      </c>
      <c r="H270" s="5">
        <v>211</v>
      </c>
      <c r="I270" s="5">
        <v>2635</v>
      </c>
      <c r="J270" s="7">
        <v>21890</v>
      </c>
      <c r="K270" s="5">
        <v>184539</v>
      </c>
      <c r="L270" s="5" t="s">
        <v>55</v>
      </c>
    </row>
    <row r="271" ht="14.25" customHeight="1">
      <c r="A271" s="5" t="s">
        <v>458</v>
      </c>
      <c r="B271" s="5" t="s">
        <v>13</v>
      </c>
      <c r="C271" s="6" t="s">
        <v>357</v>
      </c>
      <c r="D271" s="5" t="s">
        <v>25</v>
      </c>
      <c r="E271" s="5" t="s">
        <v>20</v>
      </c>
      <c r="F271" s="5">
        <v>11333</v>
      </c>
      <c r="G271" s="5">
        <v>920</v>
      </c>
      <c r="H271" s="5">
        <v>294</v>
      </c>
      <c r="I271" s="5">
        <v>606</v>
      </c>
      <c r="J271" s="7">
        <v>59490</v>
      </c>
      <c r="K271" s="5">
        <v>202082</v>
      </c>
      <c r="L271" s="5" t="s">
        <v>27</v>
      </c>
    </row>
    <row r="272" ht="14.25" customHeight="1">
      <c r="A272" s="5" t="s">
        <v>459</v>
      </c>
      <c r="B272" s="5" t="s">
        <v>46</v>
      </c>
      <c r="C272" s="6" t="s">
        <v>460</v>
      </c>
      <c r="D272" s="5" t="s">
        <v>30</v>
      </c>
      <c r="E272" s="5" t="s">
        <v>26</v>
      </c>
      <c r="F272" s="5">
        <v>18608</v>
      </c>
      <c r="G272" s="5">
        <v>1338</v>
      </c>
      <c r="H272" s="5">
        <v>365</v>
      </c>
      <c r="I272" s="5">
        <v>2289</v>
      </c>
      <c r="J272" s="7">
        <v>20785</v>
      </c>
      <c r="K272" s="5">
        <v>161999</v>
      </c>
      <c r="L272" s="5" t="s">
        <v>17</v>
      </c>
    </row>
    <row r="273" ht="14.25" customHeight="1">
      <c r="A273" s="5" t="s">
        <v>461</v>
      </c>
      <c r="B273" s="5" t="s">
        <v>19</v>
      </c>
      <c r="C273" s="6" t="s">
        <v>462</v>
      </c>
      <c r="D273" s="5" t="s">
        <v>25</v>
      </c>
      <c r="E273" s="5" t="s">
        <v>70</v>
      </c>
      <c r="F273" s="5">
        <v>14819</v>
      </c>
      <c r="G273" s="5">
        <v>1432</v>
      </c>
      <c r="H273" s="5">
        <v>152</v>
      </c>
      <c r="I273" s="5">
        <v>961</v>
      </c>
      <c r="J273" s="7">
        <v>39154</v>
      </c>
      <c r="K273" s="5">
        <v>154793</v>
      </c>
      <c r="L273" s="5" t="s">
        <v>32</v>
      </c>
    </row>
    <row r="274" ht="14.25" customHeight="1">
      <c r="A274" s="5" t="s">
        <v>463</v>
      </c>
      <c r="B274" s="5" t="s">
        <v>19</v>
      </c>
      <c r="C274" s="6" t="s">
        <v>464</v>
      </c>
      <c r="D274" s="5" t="s">
        <v>15</v>
      </c>
      <c r="E274" s="5" t="s">
        <v>169</v>
      </c>
      <c r="F274" s="5">
        <v>6208</v>
      </c>
      <c r="G274" s="5">
        <v>725</v>
      </c>
      <c r="H274" s="5">
        <v>309</v>
      </c>
      <c r="I274" s="5">
        <v>848</v>
      </c>
      <c r="J274" s="7">
        <v>39319</v>
      </c>
      <c r="K274" s="5">
        <v>225763</v>
      </c>
      <c r="L274" s="5" t="s">
        <v>17</v>
      </c>
    </row>
    <row r="275" ht="14.25" customHeight="1">
      <c r="A275" s="5" t="s">
        <v>465</v>
      </c>
      <c r="B275" s="5" t="s">
        <v>19</v>
      </c>
      <c r="C275" s="6" t="s">
        <v>284</v>
      </c>
      <c r="D275" s="5" t="s">
        <v>30</v>
      </c>
      <c r="E275" s="5" t="s">
        <v>39</v>
      </c>
      <c r="F275" s="5">
        <v>8283</v>
      </c>
      <c r="G275" s="5">
        <v>720</v>
      </c>
      <c r="H275" s="5">
        <v>888</v>
      </c>
      <c r="I275" s="5">
        <v>611</v>
      </c>
      <c r="J275" s="7">
        <v>52791</v>
      </c>
      <c r="K275" s="5">
        <v>235229</v>
      </c>
      <c r="L275" s="5" t="s">
        <v>17</v>
      </c>
    </row>
    <row r="276" ht="14.25" customHeight="1">
      <c r="A276" s="5" t="s">
        <v>466</v>
      </c>
      <c r="B276" s="5" t="s">
        <v>23</v>
      </c>
      <c r="C276" s="6" t="s">
        <v>437</v>
      </c>
      <c r="D276" s="5" t="s">
        <v>25</v>
      </c>
      <c r="E276" s="5" t="s">
        <v>42</v>
      </c>
      <c r="F276" s="5">
        <v>4048</v>
      </c>
      <c r="G276" s="5">
        <v>751</v>
      </c>
      <c r="H276" s="5">
        <v>930</v>
      </c>
      <c r="I276" s="5">
        <v>1382</v>
      </c>
      <c r="J276" s="7">
        <v>16844</v>
      </c>
      <c r="K276" s="5">
        <v>148177</v>
      </c>
      <c r="L276" s="5" t="s">
        <v>32</v>
      </c>
    </row>
    <row r="277" ht="14.25" customHeight="1">
      <c r="A277" s="5" t="s">
        <v>467</v>
      </c>
      <c r="B277" s="5" t="s">
        <v>19</v>
      </c>
      <c r="C277" s="6" t="s">
        <v>468</v>
      </c>
      <c r="D277" s="5" t="s">
        <v>30</v>
      </c>
      <c r="E277" s="5" t="s">
        <v>31</v>
      </c>
      <c r="F277" s="5">
        <v>8233</v>
      </c>
      <c r="G277" s="5">
        <v>436</v>
      </c>
      <c r="H277" s="5">
        <v>269</v>
      </c>
      <c r="I277" s="5">
        <v>2037</v>
      </c>
      <c r="J277" s="7">
        <v>8875</v>
      </c>
      <c r="K277" s="5">
        <v>52289</v>
      </c>
      <c r="L277" s="5" t="s">
        <v>17</v>
      </c>
    </row>
    <row r="278" ht="14.25" customHeight="1">
      <c r="A278" s="5" t="s">
        <v>469</v>
      </c>
      <c r="B278" s="5" t="s">
        <v>23</v>
      </c>
      <c r="C278" s="6" t="s">
        <v>243</v>
      </c>
      <c r="D278" s="5" t="s">
        <v>15</v>
      </c>
      <c r="E278" s="5" t="s">
        <v>85</v>
      </c>
      <c r="F278" s="5">
        <v>14941</v>
      </c>
      <c r="G278" s="5">
        <v>1424</v>
      </c>
      <c r="H278" s="5">
        <v>238</v>
      </c>
      <c r="I278" s="5">
        <v>1054</v>
      </c>
      <c r="J278" s="7">
        <v>20516</v>
      </c>
      <c r="K278" s="5">
        <v>216048</v>
      </c>
      <c r="L278" s="5" t="s">
        <v>55</v>
      </c>
    </row>
    <row r="279" ht="14.25" customHeight="1">
      <c r="A279" s="5" t="s">
        <v>470</v>
      </c>
      <c r="B279" s="5" t="s">
        <v>46</v>
      </c>
      <c r="C279" s="6" t="s">
        <v>471</v>
      </c>
      <c r="D279" s="5" t="s">
        <v>30</v>
      </c>
      <c r="E279" s="5" t="s">
        <v>39</v>
      </c>
      <c r="F279" s="5">
        <v>14607</v>
      </c>
      <c r="G279" s="5">
        <v>1458</v>
      </c>
      <c r="H279" s="5">
        <v>478</v>
      </c>
      <c r="I279" s="5">
        <v>334</v>
      </c>
      <c r="J279" s="7">
        <v>49257</v>
      </c>
      <c r="K279" s="5">
        <v>214668</v>
      </c>
      <c r="L279" s="5" t="s">
        <v>32</v>
      </c>
    </row>
    <row r="280" ht="14.25" customHeight="1">
      <c r="A280" s="5" t="s">
        <v>472</v>
      </c>
      <c r="B280" s="5" t="s">
        <v>23</v>
      </c>
      <c r="C280" s="6" t="s">
        <v>156</v>
      </c>
      <c r="D280" s="5" t="s">
        <v>30</v>
      </c>
      <c r="E280" s="5" t="s">
        <v>31</v>
      </c>
      <c r="F280" s="5">
        <v>11765</v>
      </c>
      <c r="G280" s="5">
        <v>693</v>
      </c>
      <c r="H280" s="5">
        <v>729</v>
      </c>
      <c r="I280" s="5">
        <v>744</v>
      </c>
      <c r="J280" s="7">
        <v>97772</v>
      </c>
      <c r="K280" s="5">
        <v>194243</v>
      </c>
      <c r="L280" s="5" t="s">
        <v>17</v>
      </c>
    </row>
    <row r="281" ht="14.25" customHeight="1">
      <c r="A281" s="5" t="s">
        <v>473</v>
      </c>
      <c r="B281" s="5" t="s">
        <v>46</v>
      </c>
      <c r="C281" s="8">
        <v>45918</v>
      </c>
      <c r="D281" s="5" t="s">
        <v>30</v>
      </c>
      <c r="E281" s="5" t="s">
        <v>39</v>
      </c>
      <c r="F281" s="5">
        <v>3828</v>
      </c>
      <c r="G281" s="5">
        <v>203</v>
      </c>
      <c r="H281" s="5">
        <v>506</v>
      </c>
      <c r="I281" s="5">
        <v>2440</v>
      </c>
      <c r="J281" s="7">
        <v>63650</v>
      </c>
      <c r="K281" s="5">
        <v>126365</v>
      </c>
      <c r="L281" s="5" t="s">
        <v>21</v>
      </c>
    </row>
    <row r="282" ht="14.25" customHeight="1">
      <c r="A282" s="5" t="s">
        <v>474</v>
      </c>
      <c r="B282" s="5" t="s">
        <v>19</v>
      </c>
      <c r="C282" s="6" t="s">
        <v>475</v>
      </c>
      <c r="D282" s="5" t="s">
        <v>30</v>
      </c>
      <c r="E282" s="5" t="s">
        <v>62</v>
      </c>
      <c r="F282" s="5">
        <v>3917</v>
      </c>
      <c r="G282" s="5">
        <v>865</v>
      </c>
      <c r="H282" s="5">
        <v>759</v>
      </c>
      <c r="I282" s="5">
        <v>2282</v>
      </c>
      <c r="J282" s="7">
        <v>56125</v>
      </c>
      <c r="K282" s="5">
        <v>154014</v>
      </c>
      <c r="L282" s="5" t="s">
        <v>17</v>
      </c>
    </row>
    <row r="283" ht="14.25" customHeight="1">
      <c r="A283" s="5" t="s">
        <v>476</v>
      </c>
      <c r="B283" s="5" t="s">
        <v>19</v>
      </c>
      <c r="C283" s="6" t="s">
        <v>477</v>
      </c>
      <c r="D283" s="5" t="s">
        <v>15</v>
      </c>
      <c r="E283" s="5" t="s">
        <v>31</v>
      </c>
      <c r="F283" s="5">
        <v>22618</v>
      </c>
      <c r="G283" s="5">
        <v>641</v>
      </c>
      <c r="H283" s="5">
        <v>416</v>
      </c>
      <c r="I283" s="5">
        <v>1530</v>
      </c>
      <c r="J283" s="7">
        <v>18395</v>
      </c>
      <c r="K283" s="5">
        <v>215211</v>
      </c>
      <c r="L283" s="5" t="s">
        <v>55</v>
      </c>
    </row>
    <row r="284" ht="14.25" customHeight="1">
      <c r="A284" s="5" t="s">
        <v>478</v>
      </c>
      <c r="B284" s="5" t="s">
        <v>46</v>
      </c>
      <c r="C284" s="6" t="s">
        <v>479</v>
      </c>
      <c r="D284" s="5" t="s">
        <v>38</v>
      </c>
      <c r="E284" s="5" t="s">
        <v>42</v>
      </c>
      <c r="F284" s="5">
        <v>8988</v>
      </c>
      <c r="G284" s="5">
        <v>228</v>
      </c>
      <c r="H284" s="5">
        <v>766</v>
      </c>
      <c r="I284" s="5">
        <v>652</v>
      </c>
      <c r="J284" s="7">
        <v>63789</v>
      </c>
      <c r="K284" s="5">
        <v>219785</v>
      </c>
      <c r="L284" s="5" t="s">
        <v>27</v>
      </c>
    </row>
    <row r="285" ht="14.25" customHeight="1">
      <c r="A285" s="5" t="s">
        <v>480</v>
      </c>
      <c r="B285" s="5" t="s">
        <v>13</v>
      </c>
      <c r="C285" s="6" t="s">
        <v>81</v>
      </c>
      <c r="D285" s="5" t="s">
        <v>30</v>
      </c>
      <c r="E285" s="5" t="s">
        <v>39</v>
      </c>
      <c r="F285" s="5">
        <v>20410</v>
      </c>
      <c r="G285" s="5">
        <v>1332</v>
      </c>
      <c r="H285" s="5">
        <v>472</v>
      </c>
      <c r="I285" s="5">
        <v>1202</v>
      </c>
      <c r="J285" s="7">
        <v>9418</v>
      </c>
      <c r="K285" s="5">
        <v>200806</v>
      </c>
      <c r="L285" s="5" t="s">
        <v>17</v>
      </c>
    </row>
    <row r="286" ht="14.25" customHeight="1">
      <c r="A286" s="5" t="s">
        <v>481</v>
      </c>
      <c r="B286" s="5" t="s">
        <v>46</v>
      </c>
      <c r="C286" s="6" t="s">
        <v>425</v>
      </c>
      <c r="D286" s="5" t="s">
        <v>30</v>
      </c>
      <c r="E286" s="5" t="s">
        <v>16</v>
      </c>
      <c r="F286" s="5">
        <v>16594</v>
      </c>
      <c r="G286" s="5">
        <v>809</v>
      </c>
      <c r="H286" s="5">
        <v>784</v>
      </c>
      <c r="I286" s="5">
        <v>1655</v>
      </c>
      <c r="J286" s="7">
        <v>35505</v>
      </c>
      <c r="K286" s="5">
        <v>112588</v>
      </c>
      <c r="L286" s="5" t="s">
        <v>27</v>
      </c>
    </row>
    <row r="287" ht="14.25" customHeight="1">
      <c r="A287" s="5" t="s">
        <v>482</v>
      </c>
      <c r="B287" s="5" t="s">
        <v>13</v>
      </c>
      <c r="C287" s="8">
        <v>45919</v>
      </c>
      <c r="D287" s="5" t="s">
        <v>25</v>
      </c>
      <c r="E287" s="5" t="s">
        <v>42</v>
      </c>
      <c r="F287" s="5">
        <v>22128</v>
      </c>
      <c r="G287" s="5">
        <v>1004</v>
      </c>
      <c r="H287" s="5">
        <v>690</v>
      </c>
      <c r="I287" s="5">
        <v>2048</v>
      </c>
      <c r="J287" s="7">
        <v>19443</v>
      </c>
      <c r="K287" s="5">
        <v>103646</v>
      </c>
      <c r="L287" s="5" t="s">
        <v>21</v>
      </c>
    </row>
    <row r="288" ht="14.25" customHeight="1">
      <c r="A288" s="5" t="s">
        <v>483</v>
      </c>
      <c r="B288" s="5" t="s">
        <v>23</v>
      </c>
      <c r="C288" s="6" t="s">
        <v>349</v>
      </c>
      <c r="D288" s="5" t="s">
        <v>30</v>
      </c>
      <c r="E288" s="5" t="s">
        <v>31</v>
      </c>
      <c r="F288" s="5">
        <v>14977</v>
      </c>
      <c r="G288" s="5">
        <v>274</v>
      </c>
      <c r="H288" s="5">
        <v>798</v>
      </c>
      <c r="I288" s="5">
        <v>458</v>
      </c>
      <c r="J288" s="7">
        <v>6636</v>
      </c>
      <c r="K288" s="5">
        <v>43654</v>
      </c>
      <c r="L288" s="5" t="s">
        <v>17</v>
      </c>
    </row>
    <row r="289" ht="14.25" customHeight="1">
      <c r="A289" s="5" t="s">
        <v>484</v>
      </c>
      <c r="B289" s="5" t="s">
        <v>23</v>
      </c>
      <c r="C289" s="6" t="s">
        <v>485</v>
      </c>
      <c r="D289" s="5" t="s">
        <v>25</v>
      </c>
      <c r="E289" s="5" t="s">
        <v>42</v>
      </c>
      <c r="F289" s="5">
        <v>2009</v>
      </c>
      <c r="G289" s="5">
        <v>1037</v>
      </c>
      <c r="H289" s="5">
        <v>344</v>
      </c>
      <c r="I289" s="5">
        <v>2277</v>
      </c>
      <c r="J289" s="7">
        <v>85743</v>
      </c>
      <c r="K289" s="5">
        <v>58743</v>
      </c>
      <c r="L289" s="5" t="s">
        <v>32</v>
      </c>
    </row>
    <row r="290" ht="14.25" customHeight="1">
      <c r="A290" s="5" t="s">
        <v>486</v>
      </c>
      <c r="B290" s="5" t="s">
        <v>23</v>
      </c>
      <c r="C290" s="6" t="s">
        <v>259</v>
      </c>
      <c r="D290" s="5" t="s">
        <v>38</v>
      </c>
      <c r="E290" s="5" t="s">
        <v>39</v>
      </c>
      <c r="F290" s="5">
        <v>18644</v>
      </c>
      <c r="G290" s="5">
        <v>1369</v>
      </c>
      <c r="H290" s="5">
        <v>887</v>
      </c>
      <c r="I290" s="5">
        <v>1256</v>
      </c>
      <c r="J290" s="7">
        <v>43415</v>
      </c>
      <c r="K290" s="5">
        <v>88368</v>
      </c>
      <c r="L290" s="5" t="s">
        <v>27</v>
      </c>
    </row>
    <row r="291" ht="14.25" customHeight="1">
      <c r="A291" s="5" t="s">
        <v>487</v>
      </c>
      <c r="B291" s="5" t="s">
        <v>19</v>
      </c>
      <c r="C291" s="8">
        <v>45920</v>
      </c>
      <c r="D291" s="5" t="s">
        <v>15</v>
      </c>
      <c r="E291" s="5" t="s">
        <v>35</v>
      </c>
      <c r="F291" s="5">
        <v>24422</v>
      </c>
      <c r="G291" s="5">
        <v>327</v>
      </c>
      <c r="H291" s="5">
        <v>481</v>
      </c>
      <c r="I291" s="5">
        <v>2371</v>
      </c>
      <c r="J291" s="7">
        <v>35340</v>
      </c>
      <c r="K291" s="5">
        <v>245244</v>
      </c>
      <c r="L291" s="5" t="s">
        <v>21</v>
      </c>
    </row>
    <row r="292" ht="14.25" customHeight="1">
      <c r="A292" s="5" t="s">
        <v>488</v>
      </c>
      <c r="B292" s="5" t="s">
        <v>23</v>
      </c>
      <c r="C292" s="6" t="s">
        <v>74</v>
      </c>
      <c r="D292" s="5" t="s">
        <v>15</v>
      </c>
      <c r="E292" s="5" t="s">
        <v>39</v>
      </c>
      <c r="F292" s="5">
        <v>11865</v>
      </c>
      <c r="G292" s="5">
        <v>241</v>
      </c>
      <c r="H292" s="5">
        <v>319</v>
      </c>
      <c r="I292" s="5">
        <v>703</v>
      </c>
      <c r="J292" s="7">
        <v>69596</v>
      </c>
      <c r="K292" s="5">
        <v>177513</v>
      </c>
      <c r="L292" s="5" t="s">
        <v>32</v>
      </c>
    </row>
    <row r="293" ht="14.25" customHeight="1">
      <c r="A293" s="5" t="s">
        <v>489</v>
      </c>
      <c r="B293" s="5" t="s">
        <v>13</v>
      </c>
      <c r="C293" s="6" t="s">
        <v>490</v>
      </c>
      <c r="D293" s="5" t="s">
        <v>38</v>
      </c>
      <c r="E293" s="5" t="s">
        <v>39</v>
      </c>
      <c r="F293" s="5">
        <v>4219</v>
      </c>
      <c r="G293" s="5">
        <v>240</v>
      </c>
      <c r="H293" s="5">
        <v>670</v>
      </c>
      <c r="I293" s="5">
        <v>815</v>
      </c>
      <c r="J293" s="7">
        <v>11978</v>
      </c>
      <c r="K293" s="5">
        <v>159735</v>
      </c>
      <c r="L293" s="5" t="s">
        <v>32</v>
      </c>
    </row>
    <row r="294" ht="14.25" customHeight="1">
      <c r="A294" s="5" t="s">
        <v>491</v>
      </c>
      <c r="B294" s="5" t="s">
        <v>23</v>
      </c>
      <c r="C294" s="6" t="s">
        <v>492</v>
      </c>
      <c r="D294" s="5" t="s">
        <v>15</v>
      </c>
      <c r="E294" s="5" t="s">
        <v>62</v>
      </c>
      <c r="F294" s="5">
        <v>9041</v>
      </c>
      <c r="G294" s="5">
        <v>1133</v>
      </c>
      <c r="H294" s="5">
        <v>612</v>
      </c>
      <c r="I294" s="5">
        <v>1687</v>
      </c>
      <c r="J294" s="7">
        <v>28102</v>
      </c>
      <c r="K294" s="5">
        <v>195683</v>
      </c>
      <c r="L294" s="5" t="s">
        <v>32</v>
      </c>
    </row>
    <row r="295" ht="14.25" customHeight="1">
      <c r="A295" s="5" t="s">
        <v>493</v>
      </c>
      <c r="B295" s="5" t="s">
        <v>46</v>
      </c>
      <c r="C295" s="6" t="s">
        <v>494</v>
      </c>
      <c r="D295" s="5" t="s">
        <v>38</v>
      </c>
      <c r="E295" s="5" t="s">
        <v>70</v>
      </c>
      <c r="F295" s="5">
        <v>20444</v>
      </c>
      <c r="G295" s="5">
        <v>233</v>
      </c>
      <c r="H295" s="5">
        <v>189</v>
      </c>
      <c r="I295" s="5">
        <v>2879</v>
      </c>
      <c r="J295" s="7">
        <v>28185</v>
      </c>
      <c r="K295" s="5">
        <v>159891</v>
      </c>
      <c r="L295" s="5" t="s">
        <v>32</v>
      </c>
    </row>
    <row r="296" ht="14.25" customHeight="1">
      <c r="A296" s="5" t="s">
        <v>495</v>
      </c>
      <c r="B296" s="5" t="s">
        <v>46</v>
      </c>
      <c r="C296" s="6" t="s">
        <v>496</v>
      </c>
      <c r="D296" s="5" t="s">
        <v>38</v>
      </c>
      <c r="E296" s="5" t="s">
        <v>16</v>
      </c>
      <c r="F296" s="5">
        <v>7287</v>
      </c>
      <c r="G296" s="5">
        <v>1240</v>
      </c>
      <c r="H296" s="5">
        <v>686</v>
      </c>
      <c r="I296" s="5">
        <v>1255</v>
      </c>
      <c r="J296" s="7">
        <v>15403</v>
      </c>
      <c r="K296" s="5">
        <v>147971</v>
      </c>
      <c r="L296" s="5" t="s">
        <v>17</v>
      </c>
    </row>
    <row r="297" ht="14.25" customHeight="1">
      <c r="A297" s="5" t="s">
        <v>497</v>
      </c>
      <c r="B297" s="5" t="s">
        <v>19</v>
      </c>
      <c r="C297" s="6" t="s">
        <v>498</v>
      </c>
      <c r="D297" s="5" t="s">
        <v>38</v>
      </c>
      <c r="E297" s="5" t="s">
        <v>169</v>
      </c>
      <c r="F297" s="5">
        <v>3619</v>
      </c>
      <c r="G297" s="5">
        <v>1376</v>
      </c>
      <c r="H297" s="5">
        <v>410</v>
      </c>
      <c r="I297" s="5">
        <v>2499</v>
      </c>
      <c r="J297" s="7">
        <v>58146</v>
      </c>
      <c r="K297" s="5">
        <v>52149</v>
      </c>
      <c r="L297" s="5" t="s">
        <v>17</v>
      </c>
    </row>
    <row r="298" ht="14.25" customHeight="1">
      <c r="A298" s="5" t="s">
        <v>499</v>
      </c>
      <c r="B298" s="5" t="s">
        <v>46</v>
      </c>
      <c r="C298" s="6" t="s">
        <v>500</v>
      </c>
      <c r="D298" s="5" t="s">
        <v>15</v>
      </c>
      <c r="E298" s="5" t="s">
        <v>85</v>
      </c>
      <c r="F298" s="5">
        <v>10512</v>
      </c>
      <c r="G298" s="5">
        <v>1197</v>
      </c>
      <c r="H298" s="5">
        <v>544</v>
      </c>
      <c r="I298" s="5">
        <v>2012</v>
      </c>
      <c r="J298" s="7">
        <v>10245</v>
      </c>
      <c r="K298" s="5">
        <v>140102</v>
      </c>
      <c r="L298" s="5" t="s">
        <v>17</v>
      </c>
    </row>
    <row r="299" ht="14.25" customHeight="1">
      <c r="A299" s="5" t="s">
        <v>501</v>
      </c>
      <c r="B299" s="5" t="s">
        <v>13</v>
      </c>
      <c r="C299" s="9">
        <v>45924</v>
      </c>
      <c r="D299" s="5" t="s">
        <v>25</v>
      </c>
      <c r="E299" s="5" t="s">
        <v>48</v>
      </c>
      <c r="F299" s="5">
        <v>3342</v>
      </c>
      <c r="G299" s="5">
        <v>787</v>
      </c>
      <c r="H299" s="5">
        <v>375</v>
      </c>
      <c r="I299" s="5">
        <v>907</v>
      </c>
      <c r="J299" s="7">
        <v>85823</v>
      </c>
      <c r="K299" s="5">
        <v>99189</v>
      </c>
      <c r="L299" s="5" t="s">
        <v>21</v>
      </c>
    </row>
    <row r="300" ht="14.25" customHeight="1">
      <c r="A300" s="5" t="s">
        <v>502</v>
      </c>
      <c r="B300" s="5" t="s">
        <v>23</v>
      </c>
      <c r="C300" s="9">
        <v>45925</v>
      </c>
      <c r="D300" s="5" t="s">
        <v>38</v>
      </c>
      <c r="E300" s="5" t="s">
        <v>70</v>
      </c>
      <c r="F300" s="5">
        <v>12568</v>
      </c>
      <c r="G300" s="5">
        <v>541</v>
      </c>
      <c r="H300" s="5">
        <v>273</v>
      </c>
      <c r="I300" s="5">
        <v>2767</v>
      </c>
      <c r="J300" s="7">
        <v>22331</v>
      </c>
      <c r="K300" s="5">
        <v>192747</v>
      </c>
      <c r="L300" s="5" t="s">
        <v>21</v>
      </c>
    </row>
    <row r="301" ht="14.25" customHeight="1">
      <c r="A301" s="5" t="s">
        <v>503</v>
      </c>
      <c r="B301" s="5" t="s">
        <v>19</v>
      </c>
      <c r="C301" s="9">
        <v>45926</v>
      </c>
      <c r="D301" s="5" t="s">
        <v>30</v>
      </c>
      <c r="E301" s="5" t="s">
        <v>48</v>
      </c>
      <c r="F301" s="5">
        <v>21216</v>
      </c>
      <c r="G301" s="5">
        <v>226</v>
      </c>
      <c r="H301" s="5">
        <v>187</v>
      </c>
      <c r="I301" s="5">
        <v>1573</v>
      </c>
      <c r="J301" s="7">
        <v>62688</v>
      </c>
      <c r="K301" s="5">
        <v>111031</v>
      </c>
      <c r="L301" s="5" t="s">
        <v>21</v>
      </c>
    </row>
    <row r="302" ht="14.25" customHeight="1">
      <c r="J302" s="10"/>
    </row>
    <row r="303" ht="14.25" customHeight="1">
      <c r="J303" s="10"/>
    </row>
    <row r="304" ht="14.25" customHeight="1">
      <c r="J304" s="10"/>
    </row>
    <row r="305" ht="14.25" customHeight="1">
      <c r="J305" s="10"/>
    </row>
    <row r="306" ht="14.25" customHeight="1">
      <c r="J306" s="10"/>
    </row>
    <row r="307" ht="14.25" customHeight="1">
      <c r="J307" s="10"/>
    </row>
    <row r="308" ht="14.25" customHeight="1">
      <c r="J308" s="10"/>
    </row>
    <row r="309" ht="14.25" customHeight="1">
      <c r="J309" s="10"/>
    </row>
    <row r="310" ht="14.25" customHeight="1">
      <c r="J310" s="10"/>
    </row>
    <row r="311" ht="14.25" customHeight="1">
      <c r="J311" s="10"/>
    </row>
    <row r="312" ht="14.25" customHeight="1">
      <c r="J312" s="10"/>
    </row>
    <row r="313" ht="14.25" customHeight="1">
      <c r="J313" s="10"/>
    </row>
    <row r="314" ht="14.25" customHeight="1">
      <c r="J314" s="10"/>
    </row>
    <row r="315" ht="14.25" customHeight="1">
      <c r="J315" s="10"/>
    </row>
    <row r="316" ht="14.25" customHeight="1">
      <c r="J316" s="10"/>
    </row>
    <row r="317" ht="14.25" customHeight="1">
      <c r="J317" s="10"/>
    </row>
    <row r="318" ht="14.25" customHeight="1">
      <c r="J318" s="10"/>
    </row>
    <row r="319" ht="14.25" customHeight="1">
      <c r="J319" s="10"/>
    </row>
    <row r="320" ht="14.25" customHeight="1">
      <c r="J320" s="10"/>
    </row>
    <row r="321" ht="14.25" customHeight="1">
      <c r="J321" s="10"/>
    </row>
    <row r="322" ht="14.25" customHeight="1">
      <c r="J322" s="10"/>
    </row>
    <row r="323" ht="14.25" customHeight="1">
      <c r="J323" s="10"/>
    </row>
    <row r="324" ht="14.25" customHeight="1">
      <c r="J324" s="10"/>
    </row>
    <row r="325" ht="14.25" customHeight="1">
      <c r="J325" s="10"/>
    </row>
    <row r="326" ht="14.25" customHeight="1">
      <c r="J326" s="10"/>
    </row>
    <row r="327" ht="14.25" customHeight="1">
      <c r="J327" s="10"/>
    </row>
    <row r="328" ht="14.25" customHeight="1">
      <c r="J328" s="10"/>
    </row>
    <row r="329" ht="14.25" customHeight="1">
      <c r="J329" s="10"/>
    </row>
    <row r="330" ht="14.25" customHeight="1">
      <c r="J330" s="10"/>
    </row>
    <row r="331" ht="14.25" customHeight="1">
      <c r="J331" s="10"/>
    </row>
    <row r="332" ht="14.25" customHeight="1">
      <c r="J332" s="10"/>
    </row>
    <row r="333" ht="14.25" customHeight="1">
      <c r="J333" s="10"/>
    </row>
    <row r="334" ht="14.25" customHeight="1">
      <c r="J334" s="10"/>
    </row>
    <row r="335" ht="14.25" customHeight="1">
      <c r="J335" s="10"/>
    </row>
    <row r="336" ht="14.25" customHeight="1">
      <c r="J336" s="10"/>
    </row>
    <row r="337" ht="14.25" customHeight="1">
      <c r="J337" s="10"/>
    </row>
    <row r="338" ht="14.25" customHeight="1">
      <c r="J338" s="10"/>
    </row>
    <row r="339" ht="14.25" customHeight="1">
      <c r="J339" s="10"/>
    </row>
    <row r="340" ht="14.25" customHeight="1">
      <c r="J340" s="10"/>
    </row>
    <row r="341" ht="14.25" customHeight="1">
      <c r="J341" s="10"/>
    </row>
    <row r="342" ht="14.25" customHeight="1">
      <c r="J342" s="10"/>
    </row>
    <row r="343" ht="14.25" customHeight="1">
      <c r="J343" s="10"/>
    </row>
    <row r="344" ht="14.25" customHeight="1">
      <c r="J344" s="10"/>
    </row>
    <row r="345" ht="14.25" customHeight="1">
      <c r="J345" s="10"/>
    </row>
    <row r="346" ht="14.25" customHeight="1">
      <c r="J346" s="10"/>
    </row>
    <row r="347" ht="14.25" customHeight="1">
      <c r="J347" s="10"/>
    </row>
    <row r="348" ht="14.25" customHeight="1">
      <c r="J348" s="10"/>
    </row>
    <row r="349" ht="14.25" customHeight="1">
      <c r="J349" s="10"/>
    </row>
    <row r="350" ht="14.25" customHeight="1">
      <c r="J350" s="10"/>
    </row>
    <row r="351" ht="14.25" customHeight="1">
      <c r="J351" s="10"/>
    </row>
    <row r="352" ht="14.25" customHeight="1">
      <c r="J352" s="10"/>
    </row>
    <row r="353" ht="14.25" customHeight="1">
      <c r="J353" s="10"/>
    </row>
    <row r="354" ht="14.25" customHeight="1">
      <c r="J354" s="10"/>
    </row>
    <row r="355" ht="14.25" customHeight="1">
      <c r="J355" s="10"/>
    </row>
    <row r="356" ht="14.25" customHeight="1">
      <c r="J356" s="10"/>
    </row>
    <row r="357" ht="14.25" customHeight="1">
      <c r="J357" s="10"/>
    </row>
    <row r="358" ht="14.25" customHeight="1">
      <c r="J358" s="10"/>
    </row>
    <row r="359" ht="14.25" customHeight="1">
      <c r="J359" s="10"/>
    </row>
    <row r="360" ht="14.25" customHeight="1">
      <c r="J360" s="10"/>
    </row>
    <row r="361" ht="14.25" customHeight="1">
      <c r="J361" s="10"/>
    </row>
    <row r="362" ht="14.25" customHeight="1">
      <c r="J362" s="10"/>
    </row>
    <row r="363" ht="14.25" customHeight="1">
      <c r="J363" s="10"/>
    </row>
    <row r="364" ht="14.25" customHeight="1">
      <c r="J364" s="10"/>
    </row>
    <row r="365" ht="14.25" customHeight="1">
      <c r="J365" s="10"/>
    </row>
    <row r="366" ht="14.25" customHeight="1">
      <c r="J366" s="10"/>
    </row>
    <row r="367" ht="14.25" customHeight="1">
      <c r="J367" s="10"/>
    </row>
    <row r="368" ht="14.25" customHeight="1">
      <c r="J368" s="10"/>
    </row>
    <row r="369" ht="14.25" customHeight="1">
      <c r="J369" s="10"/>
    </row>
    <row r="370" ht="14.25" customHeight="1">
      <c r="J370" s="10"/>
    </row>
    <row r="371" ht="14.25" customHeight="1">
      <c r="J371" s="10"/>
    </row>
    <row r="372" ht="14.25" customHeight="1">
      <c r="J372" s="10"/>
    </row>
    <row r="373" ht="14.25" customHeight="1">
      <c r="J373" s="10"/>
    </row>
    <row r="374" ht="14.25" customHeight="1">
      <c r="J374" s="10"/>
    </row>
    <row r="375" ht="14.25" customHeight="1">
      <c r="J375" s="10"/>
    </row>
    <row r="376" ht="14.25" customHeight="1">
      <c r="J376" s="10"/>
    </row>
    <row r="377" ht="14.25" customHeight="1">
      <c r="J377" s="10"/>
    </row>
    <row r="378" ht="14.25" customHeight="1">
      <c r="J378" s="10"/>
    </row>
    <row r="379" ht="14.25" customHeight="1">
      <c r="J379" s="10"/>
    </row>
    <row r="380" ht="14.25" customHeight="1">
      <c r="J380" s="10"/>
    </row>
    <row r="381" ht="14.25" customHeight="1">
      <c r="J381" s="10"/>
    </row>
    <row r="382" ht="14.25" customHeight="1">
      <c r="J382" s="10"/>
    </row>
    <row r="383" ht="14.25" customHeight="1">
      <c r="J383" s="10"/>
    </row>
    <row r="384" ht="14.25" customHeight="1">
      <c r="J384" s="10"/>
    </row>
    <row r="385" ht="14.25" customHeight="1">
      <c r="J385" s="10"/>
    </row>
    <row r="386" ht="14.25" customHeight="1">
      <c r="J386" s="10"/>
    </row>
    <row r="387" ht="14.25" customHeight="1">
      <c r="J387" s="10"/>
    </row>
    <row r="388" ht="14.25" customHeight="1">
      <c r="J388" s="10"/>
    </row>
    <row r="389" ht="14.25" customHeight="1">
      <c r="J389" s="10"/>
    </row>
    <row r="390" ht="14.25" customHeight="1">
      <c r="J390" s="10"/>
    </row>
    <row r="391" ht="14.25" customHeight="1">
      <c r="J391" s="10"/>
    </row>
    <row r="392" ht="14.25" customHeight="1">
      <c r="J392" s="10"/>
    </row>
    <row r="393" ht="14.25" customHeight="1">
      <c r="J393" s="10"/>
    </row>
    <row r="394" ht="14.25" customHeight="1">
      <c r="J394" s="10"/>
    </row>
    <row r="395" ht="14.25" customHeight="1">
      <c r="J395" s="10"/>
    </row>
    <row r="396" ht="14.25" customHeight="1">
      <c r="J396" s="10"/>
    </row>
    <row r="397" ht="14.25" customHeight="1">
      <c r="J397" s="10"/>
    </row>
    <row r="398" ht="14.25" customHeight="1">
      <c r="J398" s="10"/>
    </row>
    <row r="399" ht="14.25" customHeight="1">
      <c r="J399" s="10"/>
    </row>
    <row r="400" ht="14.25" customHeight="1">
      <c r="J400" s="10"/>
    </row>
    <row r="401" ht="14.25" customHeight="1">
      <c r="J401" s="10"/>
    </row>
    <row r="402" ht="14.25" customHeight="1">
      <c r="J402" s="10"/>
    </row>
    <row r="403" ht="14.25" customHeight="1">
      <c r="J403" s="10"/>
    </row>
    <row r="404" ht="14.25" customHeight="1">
      <c r="J404" s="10"/>
    </row>
    <row r="405" ht="14.25" customHeight="1">
      <c r="J405" s="10"/>
    </row>
    <row r="406" ht="14.25" customHeight="1">
      <c r="J406" s="10"/>
    </row>
    <row r="407" ht="14.25" customHeight="1">
      <c r="J407" s="10"/>
    </row>
    <row r="408" ht="14.25" customHeight="1">
      <c r="J408" s="10"/>
    </row>
    <row r="409" ht="14.25" customHeight="1">
      <c r="J409" s="10"/>
    </row>
    <row r="410" ht="14.25" customHeight="1">
      <c r="J410" s="10"/>
    </row>
    <row r="411" ht="14.25" customHeight="1">
      <c r="J411" s="10"/>
    </row>
    <row r="412" ht="14.25" customHeight="1">
      <c r="J412" s="10"/>
    </row>
    <row r="413" ht="14.25" customHeight="1">
      <c r="J413" s="10"/>
    </row>
    <row r="414" ht="14.25" customHeight="1">
      <c r="J414" s="10"/>
    </row>
    <row r="415" ht="14.25" customHeight="1">
      <c r="J415" s="10"/>
    </row>
    <row r="416" ht="14.25" customHeight="1">
      <c r="J416" s="10"/>
    </row>
    <row r="417" ht="14.25" customHeight="1">
      <c r="J417" s="10"/>
    </row>
    <row r="418" ht="14.25" customHeight="1">
      <c r="J418" s="10"/>
    </row>
    <row r="419" ht="14.25" customHeight="1">
      <c r="J419" s="10"/>
    </row>
    <row r="420" ht="14.25" customHeight="1">
      <c r="J420" s="10"/>
    </row>
    <row r="421" ht="14.25" customHeight="1">
      <c r="J421" s="10"/>
    </row>
    <row r="422" ht="14.25" customHeight="1">
      <c r="J422" s="10"/>
    </row>
    <row r="423" ht="14.25" customHeight="1">
      <c r="J423" s="10"/>
    </row>
    <row r="424" ht="14.25" customHeight="1">
      <c r="J424" s="10"/>
    </row>
    <row r="425" ht="14.25" customHeight="1">
      <c r="J425" s="10"/>
    </row>
    <row r="426" ht="14.25" customHeight="1">
      <c r="J426" s="10"/>
    </row>
    <row r="427" ht="14.25" customHeight="1">
      <c r="J427" s="10"/>
    </row>
    <row r="428" ht="14.25" customHeight="1">
      <c r="J428" s="10"/>
    </row>
    <row r="429" ht="14.25" customHeight="1">
      <c r="J429" s="10"/>
    </row>
    <row r="430" ht="14.25" customHeight="1">
      <c r="J430" s="10"/>
    </row>
    <row r="431" ht="14.25" customHeight="1">
      <c r="J431" s="10"/>
    </row>
    <row r="432" ht="14.25" customHeight="1">
      <c r="J432" s="10"/>
    </row>
    <row r="433" ht="14.25" customHeight="1">
      <c r="J433" s="10"/>
    </row>
    <row r="434" ht="14.25" customHeight="1">
      <c r="J434" s="10"/>
    </row>
    <row r="435" ht="14.25" customHeight="1">
      <c r="J435" s="10"/>
    </row>
    <row r="436" ht="14.25" customHeight="1">
      <c r="J436" s="10"/>
    </row>
    <row r="437" ht="14.25" customHeight="1">
      <c r="J437" s="10"/>
    </row>
    <row r="438" ht="14.25" customHeight="1">
      <c r="J438" s="10"/>
    </row>
    <row r="439" ht="14.25" customHeight="1">
      <c r="J439" s="10"/>
    </row>
    <row r="440" ht="14.25" customHeight="1">
      <c r="J440" s="10"/>
    </row>
    <row r="441" ht="14.25" customHeight="1">
      <c r="J441" s="10"/>
    </row>
    <row r="442" ht="14.25" customHeight="1">
      <c r="J442" s="10"/>
    </row>
    <row r="443" ht="14.25" customHeight="1">
      <c r="J443" s="10"/>
    </row>
    <row r="444" ht="14.25" customHeight="1">
      <c r="J444" s="10"/>
    </row>
    <row r="445" ht="14.25" customHeight="1">
      <c r="J445" s="10"/>
    </row>
    <row r="446" ht="14.25" customHeight="1">
      <c r="J446" s="10"/>
    </row>
    <row r="447" ht="14.25" customHeight="1">
      <c r="J447" s="10"/>
    </row>
    <row r="448" ht="14.25" customHeight="1">
      <c r="J448" s="10"/>
    </row>
    <row r="449" ht="14.25" customHeight="1">
      <c r="J449" s="10"/>
    </row>
    <row r="450" ht="14.25" customHeight="1">
      <c r="J450" s="10"/>
    </row>
    <row r="451" ht="14.25" customHeight="1">
      <c r="J451" s="10"/>
    </row>
    <row r="452" ht="14.25" customHeight="1">
      <c r="J452" s="10"/>
    </row>
    <row r="453" ht="14.25" customHeight="1">
      <c r="J453" s="10"/>
    </row>
    <row r="454" ht="14.25" customHeight="1">
      <c r="J454" s="10"/>
    </row>
    <row r="455" ht="14.25" customHeight="1">
      <c r="J455" s="10"/>
    </row>
    <row r="456" ht="14.25" customHeight="1">
      <c r="J456" s="10"/>
    </row>
    <row r="457" ht="14.25" customHeight="1">
      <c r="J457" s="10"/>
    </row>
    <row r="458" ht="14.25" customHeight="1">
      <c r="J458" s="10"/>
    </row>
    <row r="459" ht="14.25" customHeight="1">
      <c r="J459" s="10"/>
    </row>
    <row r="460" ht="14.25" customHeight="1">
      <c r="J460" s="10"/>
    </row>
    <row r="461" ht="14.25" customHeight="1">
      <c r="J461" s="10"/>
    </row>
    <row r="462" ht="14.25" customHeight="1">
      <c r="J462" s="10"/>
    </row>
    <row r="463" ht="14.25" customHeight="1">
      <c r="J463" s="10"/>
    </row>
    <row r="464" ht="14.25" customHeight="1">
      <c r="J464" s="10"/>
    </row>
    <row r="465" ht="14.25" customHeight="1">
      <c r="J465" s="10"/>
    </row>
    <row r="466" ht="14.25" customHeight="1">
      <c r="J466" s="10"/>
    </row>
    <row r="467" ht="14.25" customHeight="1">
      <c r="J467" s="10"/>
    </row>
    <row r="468" ht="14.25" customHeight="1">
      <c r="J468" s="10"/>
    </row>
    <row r="469" ht="14.25" customHeight="1">
      <c r="J469" s="10"/>
    </row>
    <row r="470" ht="14.25" customHeight="1">
      <c r="J470" s="10"/>
    </row>
    <row r="471" ht="14.25" customHeight="1">
      <c r="J471" s="10"/>
    </row>
    <row r="472" ht="14.25" customHeight="1">
      <c r="J472" s="10"/>
    </row>
    <row r="473" ht="14.25" customHeight="1">
      <c r="J473" s="10"/>
    </row>
    <row r="474" ht="14.25" customHeight="1">
      <c r="J474" s="10"/>
    </row>
    <row r="475" ht="14.25" customHeight="1">
      <c r="J475" s="10"/>
    </row>
    <row r="476" ht="14.25" customHeight="1">
      <c r="J476" s="10"/>
    </row>
    <row r="477" ht="14.25" customHeight="1">
      <c r="J477" s="10"/>
    </row>
    <row r="478" ht="14.25" customHeight="1">
      <c r="J478" s="10"/>
    </row>
    <row r="479" ht="14.25" customHeight="1">
      <c r="J479" s="10"/>
    </row>
    <row r="480" ht="14.25" customHeight="1">
      <c r="J480" s="10"/>
    </row>
    <row r="481" ht="14.25" customHeight="1">
      <c r="J481" s="10"/>
    </row>
    <row r="482" ht="14.25" customHeight="1">
      <c r="J482" s="10"/>
    </row>
    <row r="483" ht="14.25" customHeight="1">
      <c r="J483" s="10"/>
    </row>
    <row r="484" ht="14.25" customHeight="1">
      <c r="J484" s="10"/>
    </row>
    <row r="485" ht="14.25" customHeight="1">
      <c r="J485" s="10"/>
    </row>
    <row r="486" ht="14.25" customHeight="1">
      <c r="J486" s="10"/>
    </row>
    <row r="487" ht="14.25" customHeight="1">
      <c r="J487" s="10"/>
    </row>
    <row r="488" ht="14.25" customHeight="1">
      <c r="J488" s="10"/>
    </row>
    <row r="489" ht="14.25" customHeight="1">
      <c r="J489" s="10"/>
    </row>
    <row r="490" ht="14.25" customHeight="1">
      <c r="J490" s="10"/>
    </row>
    <row r="491" ht="14.25" customHeight="1">
      <c r="J491" s="10"/>
    </row>
    <row r="492" ht="14.25" customHeight="1">
      <c r="J492" s="10"/>
    </row>
    <row r="493" ht="14.25" customHeight="1">
      <c r="J493" s="10"/>
    </row>
    <row r="494" ht="14.25" customHeight="1">
      <c r="J494" s="10"/>
    </row>
    <row r="495" ht="14.25" customHeight="1">
      <c r="J495" s="10"/>
    </row>
    <row r="496" ht="14.25" customHeight="1">
      <c r="J496" s="10"/>
    </row>
    <row r="497" ht="14.25" customHeight="1">
      <c r="J497" s="10"/>
    </row>
    <row r="498" ht="14.25" customHeight="1">
      <c r="J498" s="10"/>
    </row>
    <row r="499" ht="14.25" customHeight="1">
      <c r="J499" s="10"/>
    </row>
    <row r="500" ht="14.25" customHeight="1">
      <c r="J500" s="10"/>
    </row>
    <row r="501" ht="14.25" customHeight="1">
      <c r="J501" s="10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4" tint="-0.25"/>
  </sheetPr>
  <sheetViews>
    <sheetView workbookViewId="0" topLeftCell="D1">
      <selection activeCell="A19" sqref="A19"/>
    </sheetView>
  </sheetViews>
  <sheetFormatPr defaultColWidth="14.45313" defaultRowHeight="15" customHeight="1"/>
  <cols>
    <col min="1" max="1" width="17.17969" customWidth="1"/>
    <col min="2" max="2" width="11.17969" customWidth="1"/>
    <col min="3" max="3" width="14.90625" customWidth="1"/>
    <col min="4" max="4" width="11.45313" customWidth="1"/>
    <col min="5" max="6" width="19.54297" customWidth="1"/>
    <col min="7" max="7" width="14" customWidth="1"/>
    <col min="8" max="26" width="8.726563" customWidth="1"/>
  </cols>
  <sheetData>
    <row r="1" s="1" customFormat="1" ht="28" customHeight="1">
      <c r="A1" s="11" t="s">
        <v>504</v>
      </c>
      <c r="B1" s="11" t="s">
        <v>1</v>
      </c>
      <c r="C1" s="11" t="s">
        <v>505</v>
      </c>
      <c r="D1" s="11" t="s">
        <v>506</v>
      </c>
      <c r="E1" s="11" t="s">
        <v>507</v>
      </c>
      <c r="F1" s="12" t="s">
        <v>508</v>
      </c>
      <c r="G1" s="12" t="s">
        <v>509</v>
      </c>
    </row>
    <row r="2" ht="14.25" customHeight="1">
      <c r="A2" s="13" t="s">
        <v>188</v>
      </c>
      <c r="B2" s="14" t="s">
        <v>23</v>
      </c>
      <c r="C2" s="15">
        <v>4138</v>
      </c>
      <c r="D2" s="15">
        <v>361</v>
      </c>
      <c r="E2" s="15">
        <v>103777</v>
      </c>
      <c r="F2" s="14">
        <v>56.637790647253198</v>
      </c>
      <c r="G2" s="15">
        <v>23944</v>
      </c>
    </row>
    <row r="3" ht="14.25" customHeight="1">
      <c r="A3" s="13" t="s">
        <v>188</v>
      </c>
      <c r="B3" s="14" t="s">
        <v>46</v>
      </c>
      <c r="C3" s="15">
        <v>8693</v>
      </c>
      <c r="D3" s="15">
        <v>1261</v>
      </c>
      <c r="E3" s="15">
        <v>111209</v>
      </c>
      <c r="F3" s="14">
        <v>69.475492091467402</v>
      </c>
      <c r="G3" s="15">
        <v>29873</v>
      </c>
    </row>
    <row r="4" ht="14.25" customHeight="1">
      <c r="A4" s="13" t="s">
        <v>188</v>
      </c>
      <c r="B4" s="14" t="s">
        <v>510</v>
      </c>
      <c r="C4" s="15">
        <v>9264</v>
      </c>
      <c r="D4" s="15">
        <v>1141</v>
      </c>
      <c r="E4" s="15">
        <v>119332</v>
      </c>
      <c r="F4" s="14">
        <v>92.312204605638001</v>
      </c>
      <c r="G4" s="15">
        <v>50372</v>
      </c>
    </row>
    <row r="5" ht="14.25" customHeight="1">
      <c r="A5" s="13" t="s">
        <v>188</v>
      </c>
      <c r="B5" s="14" t="s">
        <v>510</v>
      </c>
      <c r="C5" s="15">
        <v>8842</v>
      </c>
      <c r="D5" s="15">
        <v>971</v>
      </c>
      <c r="E5" s="15">
        <v>127203</v>
      </c>
      <c r="F5" s="14">
        <v>16.351815601833302</v>
      </c>
      <c r="G5" s="15">
        <v>33928</v>
      </c>
    </row>
    <row r="6" ht="14.25" customHeight="1">
      <c r="A6" s="13" t="s">
        <v>201</v>
      </c>
      <c r="B6" s="14" t="s">
        <v>23</v>
      </c>
      <c r="C6" s="15">
        <v>7721</v>
      </c>
      <c r="D6" s="15">
        <v>506</v>
      </c>
      <c r="E6" s="15">
        <v>134418</v>
      </c>
      <c r="F6" s="14">
        <v>35.577824398517997</v>
      </c>
      <c r="G6" s="15">
        <v>25379</v>
      </c>
    </row>
    <row r="7" ht="14.25" customHeight="1">
      <c r="A7" s="13" t="s">
        <v>201</v>
      </c>
      <c r="B7" s="14" t="s">
        <v>510</v>
      </c>
      <c r="C7" s="15">
        <v>8002</v>
      </c>
      <c r="D7" s="15">
        <v>524</v>
      </c>
      <c r="E7" s="15">
        <v>141896</v>
      </c>
      <c r="F7" s="14">
        <v>52.0648925973953</v>
      </c>
      <c r="G7" s="15">
        <v>46751</v>
      </c>
    </row>
    <row r="8" ht="14.25" customHeight="1">
      <c r="A8" s="13" t="s">
        <v>201</v>
      </c>
      <c r="B8" s="14" t="s">
        <v>46</v>
      </c>
      <c r="C8" s="15">
        <v>5225</v>
      </c>
      <c r="D8" s="15">
        <v>291</v>
      </c>
      <c r="E8" s="15">
        <v>146830</v>
      </c>
      <c r="F8" s="14">
        <v>19.5518626983587</v>
      </c>
      <c r="G8" s="15">
        <v>44546</v>
      </c>
    </row>
    <row r="9" ht="14.25" customHeight="1">
      <c r="A9" s="13" t="s">
        <v>201</v>
      </c>
      <c r="B9" s="14" t="s">
        <v>46</v>
      </c>
      <c r="C9" s="15">
        <v>3978</v>
      </c>
      <c r="D9" s="15">
        <v>543</v>
      </c>
      <c r="E9" s="15">
        <v>150265</v>
      </c>
      <c r="F9" s="14">
        <v>49.159817655475301</v>
      </c>
      <c r="G9" s="15">
        <v>34286</v>
      </c>
    </row>
    <row r="10" ht="14.25" customHeight="1">
      <c r="A10" s="13" t="s">
        <v>126</v>
      </c>
      <c r="B10" s="14" t="s">
        <v>23</v>
      </c>
      <c r="C10" s="15">
        <v>8373</v>
      </c>
      <c r="D10" s="15">
        <v>921</v>
      </c>
      <c r="E10" s="15">
        <v>157717</v>
      </c>
      <c r="F10" s="14">
        <v>12.2263294381709</v>
      </c>
      <c r="G10" s="15">
        <v>15110</v>
      </c>
    </row>
    <row r="11" ht="14.25" customHeight="1">
      <c r="A11" s="13" t="s">
        <v>126</v>
      </c>
      <c r="B11" s="14" t="s">
        <v>46</v>
      </c>
      <c r="C11" s="15">
        <v>6907</v>
      </c>
      <c r="D11" s="15">
        <v>834</v>
      </c>
      <c r="E11" s="15">
        <v>163790</v>
      </c>
      <c r="F11" s="14">
        <v>54.158984064961203</v>
      </c>
      <c r="G11" s="15">
        <v>22087</v>
      </c>
    </row>
    <row r="12" ht="14.25" customHeight="1">
      <c r="A12" s="13" t="s">
        <v>126</v>
      </c>
      <c r="B12" s="14" t="s">
        <v>511</v>
      </c>
      <c r="C12" s="15">
        <v>7097</v>
      </c>
      <c r="D12" s="15">
        <v>369</v>
      </c>
      <c r="E12" s="15">
        <v>170518</v>
      </c>
      <c r="F12" s="14">
        <v>9.2506362964613693</v>
      </c>
      <c r="G12" s="15">
        <v>33762</v>
      </c>
    </row>
    <row r="13" ht="14.25" customHeight="1">
      <c r="A13" s="13" t="s">
        <v>126</v>
      </c>
      <c r="B13" s="14" t="s">
        <v>23</v>
      </c>
      <c r="C13" s="15">
        <v>6656</v>
      </c>
      <c r="D13" s="15">
        <v>978</v>
      </c>
      <c r="E13" s="15">
        <v>176196</v>
      </c>
      <c r="F13" s="14">
        <v>60.425889350496</v>
      </c>
      <c r="G13" s="15">
        <v>27081</v>
      </c>
    </row>
    <row r="14" ht="14.25" customHeight="1">
      <c r="A14" s="13" t="s">
        <v>37</v>
      </c>
      <c r="B14" s="14" t="s">
        <v>46</v>
      </c>
      <c r="C14" s="15">
        <v>9984</v>
      </c>
      <c r="D14" s="15">
        <v>1330</v>
      </c>
      <c r="E14" s="15">
        <v>184850</v>
      </c>
      <c r="F14" s="14">
        <v>57.524479307546699</v>
      </c>
      <c r="G14" s="15">
        <v>44947</v>
      </c>
    </row>
    <row r="15" ht="14.25" customHeight="1">
      <c r="A15" s="13" t="s">
        <v>37</v>
      </c>
      <c r="B15" s="14" t="s">
        <v>23</v>
      </c>
      <c r="C15" s="15">
        <v>5259</v>
      </c>
      <c r="D15" s="15">
        <v>374</v>
      </c>
      <c r="E15" s="15">
        <v>189735</v>
      </c>
      <c r="F15" s="14">
        <v>14.8275225973068</v>
      </c>
      <c r="G15" s="15">
        <v>19596</v>
      </c>
    </row>
    <row r="16" ht="14.25" customHeight="1">
      <c r="A16" s="13" t="s">
        <v>37</v>
      </c>
      <c r="B16" s="14" t="s">
        <v>510</v>
      </c>
      <c r="C16" s="15">
        <v>9286</v>
      </c>
      <c r="D16" s="15">
        <v>633</v>
      </c>
      <c r="E16" s="15">
        <v>198388</v>
      </c>
      <c r="F16" s="14">
        <v>5.4343004617214801</v>
      </c>
      <c r="G16" s="15">
        <v>48019</v>
      </c>
    </row>
    <row r="17" ht="14.25" customHeight="1">
      <c r="A17" s="13" t="s">
        <v>37</v>
      </c>
      <c r="B17" s="14" t="s">
        <v>46</v>
      </c>
      <c r="C17" s="15">
        <v>6901</v>
      </c>
      <c r="D17" s="15">
        <v>471</v>
      </c>
      <c r="E17" s="15">
        <v>204818</v>
      </c>
      <c r="F17" s="14">
        <v>60.827661631301901</v>
      </c>
      <c r="G17" s="15">
        <v>52003</v>
      </c>
    </row>
    <row r="18" ht="14.25" customHeight="1">
      <c r="A18" s="13" t="s">
        <v>395</v>
      </c>
      <c r="B18" s="14" t="s">
        <v>511</v>
      </c>
      <c r="C18" s="15">
        <v>5917</v>
      </c>
      <c r="D18" s="15">
        <v>475</v>
      </c>
      <c r="E18" s="15">
        <v>210260</v>
      </c>
      <c r="F18" s="14">
        <v>17.894035955483702</v>
      </c>
      <c r="G18" s="15">
        <v>28313</v>
      </c>
    </row>
    <row r="19" ht="14.25" customHeight="1">
      <c r="A19" s="13" t="s">
        <v>395</v>
      </c>
      <c r="B19" s="14" t="s">
        <v>46</v>
      </c>
      <c r="C19" s="15">
        <v>9429</v>
      </c>
      <c r="D19" s="15">
        <v>966</v>
      </c>
      <c r="E19" s="15">
        <v>218723</v>
      </c>
      <c r="F19" s="14">
        <v>7.6914636320825904</v>
      </c>
      <c r="G19" s="15">
        <v>57639</v>
      </c>
    </row>
    <row r="20" ht="14.25" customHeight="1">
      <c r="A20" s="13" t="s">
        <v>395</v>
      </c>
      <c r="B20" s="14" t="s">
        <v>23</v>
      </c>
      <c r="C20" s="15">
        <v>3530</v>
      </c>
      <c r="D20" s="15">
        <v>328</v>
      </c>
      <c r="E20" s="15">
        <v>221925</v>
      </c>
      <c r="F20" s="14">
        <v>12.8372197814577</v>
      </c>
      <c r="G20" s="15">
        <v>11013</v>
      </c>
    </row>
    <row r="21" ht="14.25" customHeight="1">
      <c r="A21" s="13" t="s">
        <v>395</v>
      </c>
      <c r="B21" s="14" t="s">
        <v>23</v>
      </c>
      <c r="C21" s="15">
        <v>2960</v>
      </c>
      <c r="D21" s="15">
        <v>234</v>
      </c>
      <c r="E21" s="15">
        <v>224651</v>
      </c>
      <c r="F21" s="14">
        <v>17.412786945083699</v>
      </c>
      <c r="G21" s="15">
        <v>59378</v>
      </c>
    </row>
    <row r="22" ht="14.25" customHeight="1">
      <c r="A22" s="13" t="s">
        <v>512</v>
      </c>
      <c r="B22" s="14" t="s">
        <v>46</v>
      </c>
      <c r="C22" s="15">
        <v>8045</v>
      </c>
      <c r="D22" s="15">
        <v>894</v>
      </c>
      <c r="E22" s="15">
        <v>231802</v>
      </c>
      <c r="F22" s="14">
        <v>47.634187798207101</v>
      </c>
      <c r="G22" s="15">
        <v>33705</v>
      </c>
    </row>
    <row r="23" ht="14.25" customHeight="1">
      <c r="A23" s="13" t="s">
        <v>512</v>
      </c>
      <c r="B23" s="14" t="s">
        <v>511</v>
      </c>
      <c r="C23" s="15">
        <v>2048</v>
      </c>
      <c r="D23" s="15">
        <v>130</v>
      </c>
      <c r="E23" s="15">
        <v>233720</v>
      </c>
      <c r="F23" s="14">
        <v>39.284614068115701</v>
      </c>
      <c r="G23" s="15">
        <v>11828</v>
      </c>
    </row>
    <row r="24" ht="14.25" customHeight="1">
      <c r="A24" s="13" t="s">
        <v>512</v>
      </c>
      <c r="B24" s="14" t="s">
        <v>511</v>
      </c>
      <c r="C24" s="15">
        <v>6772</v>
      </c>
      <c r="D24" s="15">
        <v>536</v>
      </c>
      <c r="E24" s="15">
        <v>239956</v>
      </c>
      <c r="F24" s="14">
        <v>9.8205504342462806</v>
      </c>
      <c r="G24" s="15">
        <v>17909</v>
      </c>
    </row>
    <row r="25" ht="14.25" customHeight="1">
      <c r="A25" s="13" t="s">
        <v>512</v>
      </c>
      <c r="B25" s="14" t="s">
        <v>511</v>
      </c>
      <c r="C25" s="15">
        <v>3529</v>
      </c>
      <c r="D25" s="15">
        <v>305</v>
      </c>
      <c r="E25" s="15">
        <v>243180</v>
      </c>
      <c r="F25" s="14">
        <v>41.606628834608102</v>
      </c>
      <c r="G25" s="15">
        <v>48356</v>
      </c>
    </row>
    <row r="26" ht="14.25" customHeight="1">
      <c r="A26" s="13" t="s">
        <v>266</v>
      </c>
      <c r="B26" s="14" t="s">
        <v>23</v>
      </c>
      <c r="C26" s="15">
        <v>3964</v>
      </c>
      <c r="D26" s="15">
        <v>378</v>
      </c>
      <c r="E26" s="15">
        <v>246766</v>
      </c>
      <c r="F26" s="14">
        <v>13.6355899921383</v>
      </c>
      <c r="G26" s="15">
        <v>23109</v>
      </c>
    </row>
    <row r="27" ht="14.25" customHeight="1">
      <c r="A27" s="13" t="s">
        <v>266</v>
      </c>
      <c r="B27" s="14" t="s">
        <v>46</v>
      </c>
      <c r="C27" s="15">
        <v>8137</v>
      </c>
      <c r="D27" s="15">
        <v>1045</v>
      </c>
      <c r="E27" s="15">
        <v>253858</v>
      </c>
      <c r="F27" s="14">
        <v>20.472468860544101</v>
      </c>
      <c r="G27" s="15">
        <v>12023</v>
      </c>
    </row>
    <row r="28" ht="14.25" customHeight="1">
      <c r="A28" s="13" t="s">
        <v>266</v>
      </c>
      <c r="B28" s="14" t="s">
        <v>510</v>
      </c>
      <c r="C28" s="15">
        <v>1963</v>
      </c>
      <c r="D28" s="15">
        <v>137</v>
      </c>
      <c r="E28" s="15">
        <v>255684</v>
      </c>
      <c r="F28" s="14">
        <v>11.2083665774941</v>
      </c>
      <c r="G28" s="15">
        <v>24537</v>
      </c>
    </row>
    <row r="29" ht="14.25" customHeight="1">
      <c r="A29" s="13" t="s">
        <v>266</v>
      </c>
      <c r="B29" s="14" t="s">
        <v>23</v>
      </c>
      <c r="C29" s="15">
        <v>1536</v>
      </c>
      <c r="D29" s="15">
        <v>155</v>
      </c>
      <c r="E29" s="15">
        <v>257065</v>
      </c>
      <c r="F29" s="14">
        <v>12.1576255032774</v>
      </c>
      <c r="G29" s="15">
        <v>36661</v>
      </c>
    </row>
    <row r="30" ht="14.25" customHeight="1">
      <c r="A30" s="13" t="s">
        <v>513</v>
      </c>
      <c r="B30" s="14" t="s">
        <v>511</v>
      </c>
      <c r="C30" s="15">
        <v>8340</v>
      </c>
      <c r="D30" s="15">
        <v>911</v>
      </c>
      <c r="E30" s="15">
        <v>264494</v>
      </c>
      <c r="F30" s="14">
        <v>37.302925586213703</v>
      </c>
      <c r="G30" s="15">
        <v>48659</v>
      </c>
    </row>
    <row r="31" ht="14.25" customHeight="1">
      <c r="A31" s="13" t="s">
        <v>513</v>
      </c>
      <c r="B31" s="14" t="s">
        <v>46</v>
      </c>
      <c r="C31" s="15">
        <v>8179</v>
      </c>
      <c r="D31" s="15">
        <v>446</v>
      </c>
      <c r="E31" s="15">
        <v>272227</v>
      </c>
      <c r="F31" s="14">
        <v>41.821714965818998</v>
      </c>
      <c r="G31" s="15">
        <v>43848</v>
      </c>
    </row>
    <row r="32" ht="14.25" customHeight="1">
      <c r="A32" s="13" t="s">
        <v>513</v>
      </c>
      <c r="B32" s="14" t="s">
        <v>511</v>
      </c>
      <c r="C32" s="15">
        <v>8967</v>
      </c>
      <c r="D32" s="15">
        <v>993</v>
      </c>
      <c r="E32" s="15">
        <v>280201</v>
      </c>
      <c r="F32" s="14">
        <v>52.792102811909999</v>
      </c>
      <c r="G32" s="15">
        <v>47804</v>
      </c>
    </row>
    <row r="33" ht="14.25" customHeight="1">
      <c r="A33" s="13" t="s">
        <v>513</v>
      </c>
      <c r="B33" s="14" t="s">
        <v>510</v>
      </c>
      <c r="C33" s="15">
        <v>9734</v>
      </c>
      <c r="D33" s="15">
        <v>652</v>
      </c>
      <c r="E33" s="15">
        <v>289283</v>
      </c>
      <c r="F33" s="14">
        <v>49.647922622483897</v>
      </c>
      <c r="G33" s="15">
        <v>25379</v>
      </c>
    </row>
    <row r="34" ht="14.25" customHeight="1">
      <c r="A34" s="13" t="s">
        <v>221</v>
      </c>
      <c r="B34" s="14" t="s">
        <v>511</v>
      </c>
      <c r="C34" s="15">
        <v>1845</v>
      </c>
      <c r="D34" s="15">
        <v>104</v>
      </c>
      <c r="E34" s="15">
        <v>291024</v>
      </c>
      <c r="F34" s="14">
        <v>28.158158777282999</v>
      </c>
      <c r="G34" s="15">
        <v>37766</v>
      </c>
    </row>
    <row r="35" ht="14.25" customHeight="1">
      <c r="A35" s="13" t="s">
        <v>221</v>
      </c>
      <c r="B35" s="14" t="s">
        <v>511</v>
      </c>
      <c r="C35" s="15">
        <v>6777</v>
      </c>
      <c r="D35" s="15">
        <v>981</v>
      </c>
      <c r="E35" s="15">
        <v>296820</v>
      </c>
      <c r="F35" s="14">
        <v>23.920557913887201</v>
      </c>
      <c r="G35" s="15">
        <v>53590</v>
      </c>
    </row>
    <row r="36" ht="14.25" customHeight="1">
      <c r="A36" s="13" t="s">
        <v>221</v>
      </c>
      <c r="B36" s="14" t="s">
        <v>510</v>
      </c>
      <c r="C36" s="15">
        <v>4036</v>
      </c>
      <c r="D36" s="15">
        <v>591</v>
      </c>
      <c r="E36" s="15">
        <v>300265</v>
      </c>
      <c r="F36" s="14">
        <v>44.219272975538303</v>
      </c>
      <c r="G36" s="15">
        <v>12563</v>
      </c>
    </row>
    <row r="37" ht="14.25" customHeight="1">
      <c r="A37" s="13" t="s">
        <v>221</v>
      </c>
      <c r="B37" s="14" t="s">
        <v>46</v>
      </c>
      <c r="C37" s="15">
        <v>6947</v>
      </c>
      <c r="D37" s="15">
        <v>908</v>
      </c>
      <c r="E37" s="15">
        <v>306304</v>
      </c>
      <c r="F37" s="14">
        <v>14.117673944839099</v>
      </c>
      <c r="G37" s="15">
        <v>46060</v>
      </c>
    </row>
    <row r="38" ht="14.25" customHeight="1">
      <c r="A38" s="13" t="s">
        <v>437</v>
      </c>
      <c r="B38" s="14" t="s">
        <v>23</v>
      </c>
      <c r="C38" s="15">
        <v>3494</v>
      </c>
      <c r="D38" s="15">
        <v>281</v>
      </c>
      <c r="E38" s="15">
        <v>309517</v>
      </c>
      <c r="F38" s="14">
        <v>27.765518533715401</v>
      </c>
      <c r="G38" s="15">
        <v>39197</v>
      </c>
    </row>
    <row r="39" ht="14.25" customHeight="1">
      <c r="A39" s="13" t="s">
        <v>437</v>
      </c>
      <c r="B39" s="14" t="s">
        <v>46</v>
      </c>
      <c r="C39" s="15">
        <v>3719</v>
      </c>
      <c r="D39" s="15">
        <v>222</v>
      </c>
      <c r="E39" s="15">
        <v>313014</v>
      </c>
      <c r="F39" s="14">
        <v>21.669318305251501</v>
      </c>
      <c r="G39" s="15">
        <v>13586</v>
      </c>
    </row>
    <row r="40" ht="14.25" customHeight="1">
      <c r="A40" s="13" t="s">
        <v>437</v>
      </c>
      <c r="B40" s="14" t="s">
        <v>510</v>
      </c>
      <c r="C40" s="15">
        <v>2884</v>
      </c>
      <c r="D40" s="15">
        <v>341</v>
      </c>
      <c r="E40" s="15">
        <v>315557</v>
      </c>
      <c r="F40" s="14">
        <v>46.999749649033298</v>
      </c>
      <c r="G40" s="15">
        <v>26087</v>
      </c>
    </row>
    <row r="41" ht="14.25" customHeight="1">
      <c r="A41" s="13" t="s">
        <v>437</v>
      </c>
      <c r="B41" s="14" t="s">
        <v>511</v>
      </c>
      <c r="C41" s="15">
        <v>5349</v>
      </c>
      <c r="D41" s="15">
        <v>502</v>
      </c>
      <c r="E41" s="15">
        <v>320404</v>
      </c>
      <c r="F41" s="14">
        <v>5.2152906954969396</v>
      </c>
      <c r="G41" s="15">
        <v>58868</v>
      </c>
    </row>
    <row r="42" ht="14.25" customHeight="1">
      <c r="A42" s="13" t="s">
        <v>29</v>
      </c>
      <c r="B42" s="14" t="s">
        <v>46</v>
      </c>
      <c r="C42" s="15">
        <v>6179</v>
      </c>
      <c r="D42" s="15">
        <v>384</v>
      </c>
      <c r="E42" s="15">
        <v>326199</v>
      </c>
      <c r="F42" s="14">
        <v>14.712184893270701</v>
      </c>
      <c r="G42" s="15">
        <v>33225</v>
      </c>
    </row>
    <row r="43" ht="14.25" customHeight="1">
      <c r="A43" s="13" t="s">
        <v>29</v>
      </c>
      <c r="B43" s="14" t="s">
        <v>23</v>
      </c>
      <c r="C43" s="15">
        <v>7610</v>
      </c>
      <c r="D43" s="15">
        <v>757</v>
      </c>
      <c r="E43" s="15">
        <v>333052</v>
      </c>
      <c r="F43" s="14">
        <v>44.4504161512316</v>
      </c>
      <c r="G43" s="15">
        <v>39750</v>
      </c>
    </row>
    <row r="44" ht="14.25" customHeight="1">
      <c r="A44" s="13" t="s">
        <v>29</v>
      </c>
      <c r="B44" s="14" t="s">
        <v>510</v>
      </c>
      <c r="C44" s="15">
        <v>7430</v>
      </c>
      <c r="D44" s="15">
        <v>397</v>
      </c>
      <c r="E44" s="15">
        <v>340085</v>
      </c>
      <c r="F44" s="14">
        <v>28.065042562888699</v>
      </c>
      <c r="G44" s="15">
        <v>16643</v>
      </c>
    </row>
    <row r="45" ht="14.25" customHeight="1">
      <c r="A45" s="13" t="s">
        <v>29</v>
      </c>
      <c r="B45" s="14" t="s">
        <v>46</v>
      </c>
      <c r="C45" s="15">
        <v>8154</v>
      </c>
      <c r="D45" s="15">
        <v>1149</v>
      </c>
      <c r="E45" s="15">
        <v>347090</v>
      </c>
      <c r="F45" s="14">
        <v>26.003918292085601</v>
      </c>
      <c r="G45" s="15">
        <v>37523</v>
      </c>
    </row>
    <row r="46" ht="14.25" customHeight="1">
      <c r="A46" s="13" t="s">
        <v>64</v>
      </c>
      <c r="B46" s="14" t="s">
        <v>23</v>
      </c>
      <c r="C46" s="15">
        <v>7488</v>
      </c>
      <c r="D46" s="15">
        <v>568</v>
      </c>
      <c r="E46" s="15">
        <v>354010</v>
      </c>
      <c r="F46" s="14">
        <v>13.477302901048001</v>
      </c>
      <c r="G46" s="15">
        <v>46727</v>
      </c>
    </row>
    <row r="47" ht="14.25" customHeight="1">
      <c r="A47" s="13" t="s">
        <v>64</v>
      </c>
      <c r="B47" s="14" t="s">
        <v>510</v>
      </c>
      <c r="C47" s="15">
        <v>5737</v>
      </c>
      <c r="D47" s="15">
        <v>666</v>
      </c>
      <c r="E47" s="15">
        <v>359081</v>
      </c>
      <c r="F47" s="14">
        <v>4.6034181702735602</v>
      </c>
      <c r="G47" s="15">
        <v>21005</v>
      </c>
    </row>
    <row r="48" ht="14.25" customHeight="1">
      <c r="A48" s="13" t="s">
        <v>64</v>
      </c>
      <c r="B48" s="14" t="s">
        <v>23</v>
      </c>
      <c r="C48" s="15">
        <v>7525</v>
      </c>
      <c r="D48" s="15">
        <v>610</v>
      </c>
      <c r="E48" s="15">
        <v>365996</v>
      </c>
      <c r="F48" s="14">
        <v>5.7694619613329099</v>
      </c>
      <c r="G48" s="15">
        <v>53543</v>
      </c>
    </row>
    <row r="49" ht="14.25" customHeight="1">
      <c r="A49" s="13" t="s">
        <v>64</v>
      </c>
      <c r="B49" s="14" t="s">
        <v>510</v>
      </c>
      <c r="C49" s="15">
        <v>4850</v>
      </c>
      <c r="D49" s="15">
        <v>494</v>
      </c>
      <c r="E49" s="15">
        <v>370352</v>
      </c>
      <c r="F49" s="14">
        <v>20.4653950835961</v>
      </c>
      <c r="G49" s="15">
        <v>10161</v>
      </c>
    </row>
    <row r="50" ht="14.25" customHeight="1">
      <c r="A50" s="13" t="s">
        <v>59</v>
      </c>
      <c r="B50" s="14" t="s">
        <v>511</v>
      </c>
      <c r="C50" s="15">
        <v>1689</v>
      </c>
      <c r="D50" s="15">
        <v>176</v>
      </c>
      <c r="E50" s="15">
        <v>371865</v>
      </c>
      <c r="F50" s="14">
        <v>38.012181840183899</v>
      </c>
      <c r="G50" s="15">
        <v>26029</v>
      </c>
    </row>
    <row r="51" ht="14.25" customHeight="1">
      <c r="A51" s="13" t="s">
        <v>59</v>
      </c>
      <c r="B51" s="14" t="s">
        <v>46</v>
      </c>
      <c r="C51" s="15">
        <v>6175</v>
      </c>
      <c r="D51" s="15">
        <v>422</v>
      </c>
      <c r="E51" s="15">
        <v>377618</v>
      </c>
      <c r="F51" s="14">
        <v>37.861012981372703</v>
      </c>
      <c r="G51" s="15">
        <v>59745</v>
      </c>
    </row>
    <row r="52" ht="14.25" customHeight="1">
      <c r="A52" s="13" t="s">
        <v>59</v>
      </c>
      <c r="B52" s="14" t="s">
        <v>23</v>
      </c>
      <c r="C52" s="15">
        <v>9648</v>
      </c>
      <c r="D52" s="15">
        <v>1417</v>
      </c>
      <c r="E52" s="15">
        <v>385849</v>
      </c>
      <c r="F52" s="14">
        <v>3.6633501706626199</v>
      </c>
      <c r="G52" s="15">
        <v>24226</v>
      </c>
    </row>
    <row r="53" ht="14.25" customHeight="1">
      <c r="A53" s="13" t="s">
        <v>59</v>
      </c>
      <c r="B53" s="14" t="s">
        <v>510</v>
      </c>
      <c r="C53" s="15">
        <v>6078</v>
      </c>
      <c r="D53" s="15">
        <v>775</v>
      </c>
      <c r="E53" s="15">
        <v>391152</v>
      </c>
      <c r="F53" s="14">
        <v>37.760512537325603</v>
      </c>
      <c r="G53" s="15">
        <v>38731</v>
      </c>
    </row>
    <row r="54" ht="14.25" customHeight="1">
      <c r="A54" s="13" t="s">
        <v>156</v>
      </c>
      <c r="B54" s="14" t="s">
        <v>23</v>
      </c>
      <c r="C54" s="15">
        <v>6448</v>
      </c>
      <c r="D54" s="15">
        <v>928</v>
      </c>
      <c r="E54" s="15">
        <v>396672</v>
      </c>
      <c r="F54" s="14">
        <v>30.118586640851898</v>
      </c>
      <c r="G54" s="15">
        <v>53922</v>
      </c>
    </row>
    <row r="55" ht="14.25" customHeight="1">
      <c r="A55" s="13" t="s">
        <v>156</v>
      </c>
      <c r="B55" s="14" t="s">
        <v>23</v>
      </c>
      <c r="C55" s="15">
        <v>2179</v>
      </c>
      <c r="D55" s="15">
        <v>303</v>
      </c>
      <c r="E55" s="15">
        <v>398548</v>
      </c>
      <c r="F55" s="14">
        <v>33.9098427291067</v>
      </c>
      <c r="G55" s="15">
        <v>54848</v>
      </c>
    </row>
    <row r="56" ht="14.25" customHeight="1">
      <c r="A56" s="13" t="s">
        <v>156</v>
      </c>
      <c r="B56" s="14" t="s">
        <v>46</v>
      </c>
      <c r="C56" s="15">
        <v>7406</v>
      </c>
      <c r="D56" s="15">
        <v>813</v>
      </c>
      <c r="E56" s="15">
        <v>405141</v>
      </c>
      <c r="F56" s="14">
        <v>24.457411123534801</v>
      </c>
      <c r="G56" s="15">
        <v>13390</v>
      </c>
    </row>
    <row r="57" ht="14.25" customHeight="1">
      <c r="A57" s="13" t="s">
        <v>156</v>
      </c>
      <c r="B57" s="14" t="s">
        <v>511</v>
      </c>
      <c r="C57" s="15">
        <v>9591</v>
      </c>
      <c r="D57" s="15">
        <v>1363</v>
      </c>
      <c r="E57" s="15">
        <v>413369</v>
      </c>
      <c r="F57" s="14">
        <v>10.4942557376097</v>
      </c>
      <c r="G57" s="15">
        <v>15997</v>
      </c>
    </row>
    <row r="58" ht="14.25" customHeight="1">
      <c r="A58" s="13" t="s">
        <v>68</v>
      </c>
      <c r="B58" s="14" t="s">
        <v>23</v>
      </c>
      <c r="C58" s="15">
        <v>7907</v>
      </c>
      <c r="D58" s="15">
        <v>465</v>
      </c>
      <c r="E58" s="15">
        <v>420811</v>
      </c>
      <c r="F58" s="14">
        <v>33.257448118038702</v>
      </c>
      <c r="G58" s="15">
        <v>22693</v>
      </c>
    </row>
    <row r="59" ht="14.25" customHeight="1">
      <c r="A59" s="13" t="s">
        <v>68</v>
      </c>
      <c r="B59" s="14" t="s">
        <v>510</v>
      </c>
      <c r="C59" s="15">
        <v>9800</v>
      </c>
      <c r="D59" s="15">
        <v>682</v>
      </c>
      <c r="E59" s="15">
        <v>429929</v>
      </c>
      <c r="F59" s="14">
        <v>6.2966210699906302</v>
      </c>
      <c r="G59" s="15">
        <v>59815</v>
      </c>
    </row>
    <row r="60" ht="14.25" customHeight="1">
      <c r="A60" s="13" t="s">
        <v>68</v>
      </c>
      <c r="B60" s="14" t="s">
        <v>510</v>
      </c>
      <c r="C60" s="15">
        <v>2638</v>
      </c>
      <c r="D60" s="15">
        <v>143</v>
      </c>
      <c r="E60" s="15">
        <v>432424</v>
      </c>
      <c r="F60" s="14">
        <v>6.9547481175882897</v>
      </c>
      <c r="G60" s="15">
        <v>52092</v>
      </c>
    </row>
    <row r="61" ht="14.25" customHeight="1">
      <c r="A61" s="13" t="s">
        <v>68</v>
      </c>
      <c r="B61" s="14" t="s">
        <v>511</v>
      </c>
      <c r="C61" s="15">
        <v>6671</v>
      </c>
      <c r="D61" s="15">
        <v>550</v>
      </c>
      <c r="E61" s="15">
        <v>438545</v>
      </c>
      <c r="F61" s="14">
        <v>17.750287883797601</v>
      </c>
      <c r="G61" s="15">
        <v>10541</v>
      </c>
    </row>
    <row r="62" ht="14.25" customHeight="1">
      <c r="A62" s="13" t="s">
        <v>514</v>
      </c>
      <c r="B62" s="14" t="s">
        <v>510</v>
      </c>
      <c r="C62" s="15">
        <v>7928</v>
      </c>
      <c r="D62" s="15">
        <v>704</v>
      </c>
      <c r="E62" s="15">
        <v>445769</v>
      </c>
      <c r="F62" s="14">
        <v>11.194362999670201</v>
      </c>
      <c r="G62" s="15">
        <v>31817</v>
      </c>
    </row>
    <row r="63" ht="14.25" customHeight="1">
      <c r="A63" s="13" t="s">
        <v>514</v>
      </c>
      <c r="B63" s="14" t="s">
        <v>511</v>
      </c>
      <c r="C63" s="15">
        <v>2382</v>
      </c>
      <c r="D63" s="15">
        <v>183</v>
      </c>
      <c r="E63" s="15">
        <v>447968</v>
      </c>
      <c r="F63" s="14">
        <v>4.7335970426458998</v>
      </c>
      <c r="G63" s="15">
        <v>47861</v>
      </c>
    </row>
    <row r="64" ht="14.25" customHeight="1">
      <c r="A64" s="13" t="s">
        <v>514</v>
      </c>
      <c r="B64" s="14" t="s">
        <v>510</v>
      </c>
      <c r="C64" s="15">
        <v>2403</v>
      </c>
      <c r="D64" s="15">
        <v>319</v>
      </c>
      <c r="E64" s="15">
        <v>450052</v>
      </c>
      <c r="F64" s="14">
        <v>29.921209104725701</v>
      </c>
      <c r="G64" s="15">
        <v>23428</v>
      </c>
    </row>
    <row r="65" ht="14.25" customHeight="1">
      <c r="A65" s="13" t="s">
        <v>514</v>
      </c>
      <c r="B65" s="14" t="s">
        <v>46</v>
      </c>
      <c r="C65" s="15">
        <v>4292</v>
      </c>
      <c r="D65" s="15">
        <v>367</v>
      </c>
      <c r="E65" s="15">
        <v>453977</v>
      </c>
      <c r="F65" s="14">
        <v>3.5037017293827701</v>
      </c>
      <c r="G65" s="15">
        <v>53934</v>
      </c>
    </row>
    <row r="66" ht="14.25" customHeight="1">
      <c r="A66" s="13" t="s">
        <v>515</v>
      </c>
      <c r="B66" s="14" t="s">
        <v>23</v>
      </c>
      <c r="C66" s="15">
        <v>1419</v>
      </c>
      <c r="D66" s="15">
        <v>110</v>
      </c>
      <c r="E66" s="15">
        <v>455286</v>
      </c>
      <c r="F66" s="14">
        <v>31.5544514876363</v>
      </c>
      <c r="G66" s="15">
        <v>58831</v>
      </c>
    </row>
    <row r="67" ht="14.25" customHeight="1">
      <c r="A67" s="13" t="s">
        <v>515</v>
      </c>
      <c r="B67" s="14" t="s">
        <v>46</v>
      </c>
      <c r="C67" s="15">
        <v>5517</v>
      </c>
      <c r="D67" s="15">
        <v>575</v>
      </c>
      <c r="E67" s="15">
        <v>460228</v>
      </c>
      <c r="F67" s="14">
        <v>29.458442337276299</v>
      </c>
      <c r="G67" s="15">
        <v>20258</v>
      </c>
    </row>
    <row r="68" ht="14.25" customHeight="1">
      <c r="A68" s="13" t="s">
        <v>515</v>
      </c>
      <c r="B68" s="14" t="s">
        <v>23</v>
      </c>
      <c r="C68" s="15">
        <v>4302</v>
      </c>
      <c r="D68" s="15">
        <v>275</v>
      </c>
      <c r="E68" s="15">
        <v>464255</v>
      </c>
      <c r="F68" s="14">
        <v>15.7213169486597</v>
      </c>
      <c r="G68" s="15">
        <v>26044</v>
      </c>
    </row>
    <row r="69" ht="14.25" customHeight="1">
      <c r="A69" s="13" t="s">
        <v>515</v>
      </c>
      <c r="B69" s="14" t="s">
        <v>23</v>
      </c>
      <c r="C69" s="15">
        <v>8857</v>
      </c>
      <c r="D69" s="15">
        <v>1153</v>
      </c>
      <c r="E69" s="15">
        <v>471959</v>
      </c>
      <c r="F69" s="14">
        <v>19.214592793017999</v>
      </c>
      <c r="G69" s="15">
        <v>39411</v>
      </c>
    </row>
    <row r="70" ht="14.25" customHeight="1">
      <c r="A70" s="13" t="s">
        <v>516</v>
      </c>
      <c r="B70" s="14" t="s">
        <v>23</v>
      </c>
      <c r="C70" s="15">
        <v>8870</v>
      </c>
      <c r="D70" s="15">
        <v>509</v>
      </c>
      <c r="E70" s="15">
        <v>480320</v>
      </c>
      <c r="F70" s="14">
        <v>25.077864756828799</v>
      </c>
      <c r="G70" s="15">
        <v>15469</v>
      </c>
    </row>
    <row r="71" ht="14.25" customHeight="1">
      <c r="A71" s="13" t="s">
        <v>516</v>
      </c>
      <c r="B71" s="14" t="s">
        <v>46</v>
      </c>
      <c r="C71" s="15">
        <v>6693</v>
      </c>
      <c r="D71" s="15">
        <v>995</v>
      </c>
      <c r="E71" s="15">
        <v>486018</v>
      </c>
      <c r="F71" s="14">
        <v>23.761877132122699</v>
      </c>
      <c r="G71" s="15">
        <v>38854</v>
      </c>
    </row>
    <row r="72" ht="14.25" customHeight="1">
      <c r="A72" s="13" t="s">
        <v>516</v>
      </c>
      <c r="B72" s="14" t="s">
        <v>23</v>
      </c>
      <c r="C72" s="15">
        <v>1767</v>
      </c>
      <c r="D72" s="15">
        <v>224</v>
      </c>
      <c r="E72" s="15">
        <v>487561</v>
      </c>
      <c r="F72" s="14">
        <v>13.2086036413905</v>
      </c>
      <c r="G72" s="15">
        <v>16256</v>
      </c>
    </row>
    <row r="73" ht="14.25" customHeight="1">
      <c r="A73" s="13" t="s">
        <v>516</v>
      </c>
      <c r="B73" s="14" t="s">
        <v>46</v>
      </c>
      <c r="C73" s="15">
        <v>3044</v>
      </c>
      <c r="D73" s="15">
        <v>212</v>
      </c>
      <c r="E73" s="15">
        <v>490393</v>
      </c>
      <c r="F73" s="14">
        <v>8.5343795690395297</v>
      </c>
      <c r="G73" s="15">
        <v>20720</v>
      </c>
    </row>
    <row r="74" ht="14.25" customHeight="1">
      <c r="A74" s="13" t="s">
        <v>517</v>
      </c>
      <c r="B74" s="14" t="s">
        <v>511</v>
      </c>
      <c r="C74" s="15">
        <v>2549</v>
      </c>
      <c r="D74" s="15">
        <v>128</v>
      </c>
      <c r="E74" s="15">
        <v>492814</v>
      </c>
      <c r="F74" s="14">
        <v>12.734216154573501</v>
      </c>
      <c r="G74" s="15">
        <v>43937</v>
      </c>
    </row>
    <row r="75" ht="14.25" customHeight="1">
      <c r="A75" s="13" t="s">
        <v>517</v>
      </c>
      <c r="B75" s="14" t="s">
        <v>510</v>
      </c>
      <c r="C75" s="15">
        <v>7140</v>
      </c>
      <c r="D75" s="15">
        <v>939</v>
      </c>
      <c r="E75" s="15">
        <v>499015</v>
      </c>
      <c r="F75" s="14">
        <v>25.1208881496548</v>
      </c>
      <c r="G75" s="15">
        <v>43598</v>
      </c>
    </row>
    <row r="76" ht="14.25" customHeight="1">
      <c r="A76" s="13" t="s">
        <v>517</v>
      </c>
      <c r="B76" s="14" t="s">
        <v>510</v>
      </c>
      <c r="C76" s="15">
        <v>4716</v>
      </c>
      <c r="D76" s="15">
        <v>569</v>
      </c>
      <c r="E76" s="15">
        <v>503162</v>
      </c>
      <c r="F76" s="14">
        <v>25.648200778278198</v>
      </c>
      <c r="G76" s="15">
        <v>11651</v>
      </c>
    </row>
    <row r="77" ht="14.25" customHeight="1">
      <c r="A77" s="13" t="s">
        <v>517</v>
      </c>
      <c r="B77" s="14" t="s">
        <v>23</v>
      </c>
      <c r="C77" s="15">
        <v>5481</v>
      </c>
      <c r="D77" s="15">
        <v>673</v>
      </c>
      <c r="E77" s="15">
        <v>507970</v>
      </c>
      <c r="F77" s="14">
        <v>13.0875839124358</v>
      </c>
      <c r="G77" s="15">
        <v>29194</v>
      </c>
    </row>
    <row r="78" ht="14.25" customHeight="1">
      <c r="A78" s="13" t="s">
        <v>518</v>
      </c>
      <c r="B78" s="14" t="s">
        <v>46</v>
      </c>
      <c r="C78" s="15">
        <v>8898</v>
      </c>
      <c r="D78" s="15">
        <v>1131</v>
      </c>
      <c r="E78" s="15">
        <v>515737</v>
      </c>
      <c r="F78" s="14">
        <v>2.1877429775253701</v>
      </c>
      <c r="G78" s="15">
        <v>35051</v>
      </c>
    </row>
    <row r="79" ht="14.25" customHeight="1">
      <c r="A79" s="13" t="s">
        <v>518</v>
      </c>
      <c r="B79" s="14" t="s">
        <v>510</v>
      </c>
      <c r="C79" s="15">
        <v>7548</v>
      </c>
      <c r="D79" s="15">
        <v>433</v>
      </c>
      <c r="E79" s="15">
        <v>522852</v>
      </c>
      <c r="F79" s="14">
        <v>8.3562843787534504</v>
      </c>
      <c r="G79" s="15">
        <v>37386</v>
      </c>
    </row>
    <row r="80" ht="14.25" customHeight="1">
      <c r="A80" s="13" t="s">
        <v>518</v>
      </c>
      <c r="B80" s="14" t="s">
        <v>46</v>
      </c>
      <c r="C80" s="15">
        <v>3293</v>
      </c>
      <c r="D80" s="15">
        <v>282</v>
      </c>
      <c r="E80" s="15">
        <v>525863</v>
      </c>
      <c r="F80" s="14">
        <v>27.040693108281101</v>
      </c>
      <c r="G80" s="15">
        <v>19518</v>
      </c>
    </row>
    <row r="81" ht="14.25" customHeight="1">
      <c r="A81" s="13" t="s">
        <v>518</v>
      </c>
      <c r="B81" s="14" t="s">
        <v>46</v>
      </c>
      <c r="C81" s="15">
        <v>5837</v>
      </c>
      <c r="D81" s="15">
        <v>359</v>
      </c>
      <c r="E81" s="15">
        <v>531341</v>
      </c>
      <c r="F81" s="14">
        <v>6.8073045370110696</v>
      </c>
      <c r="G81" s="15">
        <v>56026</v>
      </c>
    </row>
    <row r="82" ht="14.25" customHeight="1">
      <c r="A82" s="13" t="s">
        <v>130</v>
      </c>
      <c r="B82" s="14" t="s">
        <v>23</v>
      </c>
      <c r="C82" s="15">
        <v>8758</v>
      </c>
      <c r="D82" s="15">
        <v>1193</v>
      </c>
      <c r="E82" s="15">
        <v>538906</v>
      </c>
      <c r="F82" s="14">
        <v>3.42137589857971</v>
      </c>
      <c r="G82" s="15">
        <v>26184</v>
      </c>
    </row>
    <row r="83" ht="14.25" customHeight="1">
      <c r="A83" s="13" t="s">
        <v>130</v>
      </c>
      <c r="B83" s="14" t="s">
        <v>510</v>
      </c>
      <c r="C83" s="15">
        <v>7793</v>
      </c>
      <c r="D83" s="15">
        <v>875</v>
      </c>
      <c r="E83" s="15">
        <v>545824</v>
      </c>
      <c r="F83" s="14">
        <v>5.5136820660139501</v>
      </c>
      <c r="G83" s="15">
        <v>43787</v>
      </c>
    </row>
    <row r="84" ht="14.25" customHeight="1">
      <c r="A84" s="13" t="s">
        <v>130</v>
      </c>
      <c r="B84" s="14" t="s">
        <v>23</v>
      </c>
      <c r="C84" s="15">
        <v>8638</v>
      </c>
      <c r="D84" s="15">
        <v>717</v>
      </c>
      <c r="E84" s="15">
        <v>553745</v>
      </c>
      <c r="F84" s="14">
        <v>26.921416897669499</v>
      </c>
      <c r="G84" s="15">
        <v>31621</v>
      </c>
    </row>
    <row r="85" ht="14.25" customHeight="1">
      <c r="A85" s="13" t="s">
        <v>130</v>
      </c>
      <c r="B85" s="14" t="s">
        <v>23</v>
      </c>
      <c r="C85" s="15">
        <v>8993</v>
      </c>
      <c r="D85" s="15">
        <v>506</v>
      </c>
      <c r="E85" s="15">
        <v>562232</v>
      </c>
      <c r="F85" s="14">
        <v>3.5131404829323101</v>
      </c>
      <c r="G85" s="15">
        <v>20028</v>
      </c>
    </row>
    <row r="86" ht="14.25" customHeight="1">
      <c r="A86" s="13" t="s">
        <v>161</v>
      </c>
      <c r="B86" s="14" t="s">
        <v>510</v>
      </c>
      <c r="C86" s="15">
        <v>7007</v>
      </c>
      <c r="D86" s="15">
        <v>568</v>
      </c>
      <c r="E86" s="15">
        <v>568671</v>
      </c>
      <c r="F86" s="14">
        <v>11.505070594420999</v>
      </c>
      <c r="G86" s="15">
        <v>22448</v>
      </c>
    </row>
    <row r="87" ht="14.25" customHeight="1">
      <c r="A87" s="13" t="s">
        <v>161</v>
      </c>
      <c r="B87" s="14" t="s">
        <v>510</v>
      </c>
      <c r="C87" s="15">
        <v>6542</v>
      </c>
      <c r="D87" s="15">
        <v>539</v>
      </c>
      <c r="E87" s="15">
        <v>574674</v>
      </c>
      <c r="F87" s="14">
        <v>6.4069368024305904</v>
      </c>
      <c r="G87" s="15">
        <v>55253</v>
      </c>
    </row>
    <row r="88" ht="14.25" customHeight="1">
      <c r="A88" s="13" t="s">
        <v>161</v>
      </c>
      <c r="B88" s="14" t="s">
        <v>511</v>
      </c>
      <c r="C88" s="15">
        <v>7356</v>
      </c>
      <c r="D88" s="15">
        <v>904</v>
      </c>
      <c r="E88" s="15">
        <v>581126</v>
      </c>
      <c r="F88" s="14">
        <v>17.5609076172809</v>
      </c>
      <c r="G88" s="15">
        <v>44051</v>
      </c>
    </row>
    <row r="89" ht="14.25" customHeight="1">
      <c r="A89" s="13" t="s">
        <v>161</v>
      </c>
      <c r="B89" s="14" t="s">
        <v>511</v>
      </c>
      <c r="C89" s="15">
        <v>9433</v>
      </c>
      <c r="D89" s="15">
        <v>1073</v>
      </c>
      <c r="E89" s="15">
        <v>589486</v>
      </c>
      <c r="F89" s="14">
        <v>7.2934726185185097</v>
      </c>
      <c r="G89" s="15">
        <v>59811</v>
      </c>
    </row>
    <row r="90" ht="14.25" customHeight="1">
      <c r="A90" s="13" t="s">
        <v>233</v>
      </c>
      <c r="B90" s="14" t="s">
        <v>46</v>
      </c>
      <c r="C90" s="15">
        <v>8380</v>
      </c>
      <c r="D90" s="15">
        <v>1162</v>
      </c>
      <c r="E90" s="15">
        <v>596704</v>
      </c>
      <c r="F90" s="14">
        <v>18.0585348849681</v>
      </c>
      <c r="G90" s="15">
        <v>40447</v>
      </c>
    </row>
    <row r="91" ht="14.25" customHeight="1">
      <c r="A91" s="13" t="s">
        <v>233</v>
      </c>
      <c r="B91" s="14" t="s">
        <v>510</v>
      </c>
      <c r="C91" s="15">
        <v>3385</v>
      </c>
      <c r="D91" s="15">
        <v>329</v>
      </c>
      <c r="E91" s="15">
        <v>599760</v>
      </c>
      <c r="F91" s="14">
        <v>17.6178804855276</v>
      </c>
      <c r="G91" s="15">
        <v>28394</v>
      </c>
    </row>
    <row r="92" ht="14.25" customHeight="1">
      <c r="A92" s="13" t="s">
        <v>233</v>
      </c>
      <c r="B92" s="14" t="s">
        <v>511</v>
      </c>
      <c r="C92" s="15">
        <v>5268</v>
      </c>
      <c r="D92" s="15">
        <v>326</v>
      </c>
      <c r="E92" s="15">
        <v>604702</v>
      </c>
      <c r="F92" s="14">
        <v>23.43584112505</v>
      </c>
      <c r="G92" s="15">
        <v>44501</v>
      </c>
    </row>
    <row r="93" ht="14.25" customHeight="1">
      <c r="A93" s="13" t="s">
        <v>233</v>
      </c>
      <c r="B93" s="14" t="s">
        <v>46</v>
      </c>
      <c r="C93" s="15">
        <v>1671</v>
      </c>
      <c r="D93" s="15">
        <v>202</v>
      </c>
      <c r="E93" s="15">
        <v>606171</v>
      </c>
      <c r="F93" s="14">
        <v>15.1500154246904</v>
      </c>
      <c r="G93" s="15">
        <v>40254</v>
      </c>
    </row>
    <row r="94" ht="14.25" customHeight="1">
      <c r="A94" s="13" t="s">
        <v>519</v>
      </c>
      <c r="B94" s="14" t="s">
        <v>46</v>
      </c>
      <c r="C94" s="15">
        <v>1163</v>
      </c>
      <c r="D94" s="15">
        <v>146</v>
      </c>
      <c r="E94" s="15">
        <v>607188</v>
      </c>
      <c r="F94" s="14">
        <v>21.7777689941171</v>
      </c>
      <c r="G94" s="15">
        <v>28509</v>
      </c>
    </row>
    <row r="95" ht="14.25" customHeight="1">
      <c r="A95" s="13" t="s">
        <v>519</v>
      </c>
      <c r="B95" s="14" t="s">
        <v>46</v>
      </c>
      <c r="C95" s="15">
        <v>9656</v>
      </c>
      <c r="D95" s="15">
        <v>1024</v>
      </c>
      <c r="E95" s="15">
        <v>615820</v>
      </c>
      <c r="F95" s="14">
        <v>8.7252768666168699</v>
      </c>
      <c r="G95" s="15">
        <v>58998</v>
      </c>
    </row>
    <row r="96" ht="14.25" customHeight="1">
      <c r="A96" s="13" t="s">
        <v>519</v>
      </c>
      <c r="B96" s="14" t="s">
        <v>511</v>
      </c>
      <c r="C96" s="15">
        <v>5592</v>
      </c>
      <c r="D96" s="15">
        <v>710</v>
      </c>
      <c r="E96" s="15">
        <v>620702</v>
      </c>
      <c r="F96" s="14">
        <v>9.07118069540617</v>
      </c>
      <c r="G96" s="15">
        <v>24472</v>
      </c>
    </row>
    <row r="97" ht="14.25" customHeight="1">
      <c r="A97" s="13" t="s">
        <v>519</v>
      </c>
      <c r="B97" s="14" t="s">
        <v>510</v>
      </c>
      <c r="C97" s="15">
        <v>5795</v>
      </c>
      <c r="D97" s="15">
        <v>575</v>
      </c>
      <c r="E97" s="15">
        <v>625922</v>
      </c>
      <c r="F97" s="14">
        <v>3.09080045117443</v>
      </c>
      <c r="G97" s="15">
        <v>55657</v>
      </c>
    </row>
    <row r="98" ht="14.25" customHeight="1">
      <c r="A98" s="13" t="s">
        <v>54</v>
      </c>
      <c r="B98" s="14" t="s">
        <v>23</v>
      </c>
      <c r="C98" s="15">
        <v>5798</v>
      </c>
      <c r="D98" s="15">
        <v>592</v>
      </c>
      <c r="E98" s="15">
        <v>631128</v>
      </c>
      <c r="F98" s="14">
        <v>1.67747271551888</v>
      </c>
      <c r="G98" s="15">
        <v>13471</v>
      </c>
    </row>
    <row r="99" ht="14.25" customHeight="1">
      <c r="A99" s="13" t="s">
        <v>54</v>
      </c>
      <c r="B99" s="14" t="s">
        <v>46</v>
      </c>
      <c r="C99" s="15">
        <v>7036</v>
      </c>
      <c r="D99" s="15">
        <v>652</v>
      </c>
      <c r="E99" s="15">
        <v>637512</v>
      </c>
      <c r="F99" s="14">
        <v>3.5705994553828</v>
      </c>
      <c r="G99" s="15">
        <v>51796</v>
      </c>
    </row>
    <row r="100" ht="14.25" customHeight="1">
      <c r="A100" s="13" t="s">
        <v>54</v>
      </c>
      <c r="B100" s="14" t="s">
        <v>511</v>
      </c>
      <c r="C100" s="15">
        <v>3355</v>
      </c>
      <c r="D100" s="15">
        <v>176</v>
      </c>
      <c r="E100" s="15">
        <v>640691</v>
      </c>
      <c r="F100" s="14">
        <v>12.4264270919991</v>
      </c>
      <c r="G100" s="15">
        <v>40268</v>
      </c>
    </row>
    <row r="101" ht="14.25" customHeight="1">
      <c r="A101" s="13" t="s">
        <v>54</v>
      </c>
      <c r="B101" s="14" t="s">
        <v>511</v>
      </c>
      <c r="C101" s="15">
        <v>6887</v>
      </c>
      <c r="D101" s="15">
        <v>418</v>
      </c>
      <c r="E101" s="15">
        <v>647160</v>
      </c>
      <c r="F101" s="14">
        <v>20.240280610668201</v>
      </c>
      <c r="G101" s="15">
        <v>18329</v>
      </c>
    </row>
    <row r="102" ht="14.25" customHeight="1">
      <c r="A102" s="13" t="s">
        <v>452</v>
      </c>
      <c r="B102" s="14" t="s">
        <v>23</v>
      </c>
      <c r="C102" s="15">
        <v>8961</v>
      </c>
      <c r="D102" s="15">
        <v>476</v>
      </c>
      <c r="E102" s="15">
        <v>655645</v>
      </c>
      <c r="F102" s="14">
        <v>15.458517947974901</v>
      </c>
      <c r="G102" s="15">
        <v>44865</v>
      </c>
    </row>
    <row r="103" ht="14.25" customHeight="1">
      <c r="A103" s="13" t="s">
        <v>452</v>
      </c>
      <c r="B103" s="14" t="s">
        <v>23</v>
      </c>
      <c r="C103" s="15">
        <v>6827</v>
      </c>
      <c r="D103" s="15">
        <v>775</v>
      </c>
      <c r="E103" s="15">
        <v>661697</v>
      </c>
      <c r="F103" s="14">
        <v>15.9662201883944</v>
      </c>
      <c r="G103" s="15">
        <v>56850</v>
      </c>
    </row>
    <row r="104" ht="14.25" customHeight="1">
      <c r="A104" s="13" t="s">
        <v>452</v>
      </c>
      <c r="B104" s="14" t="s">
        <v>511</v>
      </c>
      <c r="C104" s="15">
        <v>9737</v>
      </c>
      <c r="D104" s="15">
        <v>792</v>
      </c>
      <c r="E104" s="15">
        <v>670642</v>
      </c>
      <c r="F104" s="14">
        <v>5.3017854533417204</v>
      </c>
      <c r="G104" s="15">
        <v>56698</v>
      </c>
    </row>
    <row r="105" ht="14.25" customHeight="1">
      <c r="A105" s="13" t="s">
        <v>452</v>
      </c>
      <c r="B105" s="14" t="s">
        <v>510</v>
      </c>
      <c r="C105" s="15">
        <v>5719</v>
      </c>
      <c r="D105" s="15">
        <v>576</v>
      </c>
      <c r="E105" s="15">
        <v>675785</v>
      </c>
      <c r="F105" s="14">
        <v>10.2165629601131</v>
      </c>
      <c r="G105" s="15">
        <v>38272</v>
      </c>
    </row>
    <row r="106" ht="14.25" customHeight="1">
      <c r="A106" s="13" t="s">
        <v>520</v>
      </c>
      <c r="B106" s="14" t="s">
        <v>23</v>
      </c>
      <c r="C106" s="15">
        <v>1593</v>
      </c>
      <c r="D106" s="15">
        <v>224</v>
      </c>
      <c r="E106" s="15">
        <v>677154</v>
      </c>
      <c r="F106" s="14">
        <v>4.1495730660972203</v>
      </c>
      <c r="G106" s="15">
        <v>52845</v>
      </c>
    </row>
    <row r="107" ht="14.25" customHeight="1">
      <c r="A107" s="13" t="s">
        <v>520</v>
      </c>
      <c r="B107" s="14" t="s">
        <v>511</v>
      </c>
      <c r="C107" s="15">
        <v>5839</v>
      </c>
      <c r="D107" s="15">
        <v>437</v>
      </c>
      <c r="E107" s="15">
        <v>682556</v>
      </c>
      <c r="F107" s="14">
        <v>17.4475061386904</v>
      </c>
      <c r="G107" s="15">
        <v>16397</v>
      </c>
    </row>
    <row r="108" ht="14.25" customHeight="1">
      <c r="A108" s="13" t="s">
        <v>520</v>
      </c>
      <c r="B108" s="14" t="s">
        <v>23</v>
      </c>
      <c r="C108" s="15">
        <v>8394</v>
      </c>
      <c r="D108" s="15">
        <v>764</v>
      </c>
      <c r="E108" s="15">
        <v>690186</v>
      </c>
      <c r="F108" s="14">
        <v>6.3556780346167603</v>
      </c>
      <c r="G108" s="15">
        <v>42373</v>
      </c>
    </row>
    <row r="109" ht="14.25" customHeight="1">
      <c r="A109" s="13" t="s">
        <v>520</v>
      </c>
      <c r="B109" s="14" t="s">
        <v>510</v>
      </c>
      <c r="C109" s="15">
        <v>4493</v>
      </c>
      <c r="D109" s="15">
        <v>564</v>
      </c>
      <c r="E109" s="15">
        <v>694115</v>
      </c>
      <c r="F109" s="14">
        <v>16.625487131094999</v>
      </c>
      <c r="G109" s="15">
        <v>45525</v>
      </c>
    </row>
    <row r="110" ht="14.25" customHeight="1">
      <c r="A110" s="13" t="s">
        <v>178</v>
      </c>
      <c r="B110" s="14" t="s">
        <v>46</v>
      </c>
      <c r="C110" s="15">
        <v>7164</v>
      </c>
      <c r="D110" s="15">
        <v>522</v>
      </c>
      <c r="E110" s="15">
        <v>700757</v>
      </c>
      <c r="F110" s="14">
        <v>13.4491699690478</v>
      </c>
      <c r="G110" s="15">
        <v>34570</v>
      </c>
    </row>
    <row r="111" ht="14.25" customHeight="1">
      <c r="A111" s="13" t="s">
        <v>178</v>
      </c>
      <c r="B111" s="14" t="s">
        <v>23</v>
      </c>
      <c r="C111" s="15">
        <v>3672</v>
      </c>
      <c r="D111" s="15">
        <v>211</v>
      </c>
      <c r="E111" s="15">
        <v>704218</v>
      </c>
      <c r="F111" s="14">
        <v>12.3505789400441</v>
      </c>
      <c r="G111" s="15">
        <v>28284</v>
      </c>
    </row>
    <row r="112" ht="14.25" customHeight="1">
      <c r="A112" s="13" t="s">
        <v>178</v>
      </c>
      <c r="B112" s="14" t="s">
        <v>510</v>
      </c>
      <c r="C112" s="15">
        <v>5200</v>
      </c>
      <c r="D112" s="15">
        <v>410</v>
      </c>
      <c r="E112" s="15">
        <v>709008</v>
      </c>
      <c r="F112" s="14">
        <v>12.913394489201799</v>
      </c>
      <c r="G112" s="15">
        <v>28994</v>
      </c>
    </row>
    <row r="113" ht="14.25" customHeight="1">
      <c r="A113" s="13" t="s">
        <v>178</v>
      </c>
      <c r="B113" s="14" t="s">
        <v>511</v>
      </c>
      <c r="C113" s="15">
        <v>1016</v>
      </c>
      <c r="D113" s="15">
        <v>67</v>
      </c>
      <c r="E113" s="15">
        <v>709957</v>
      </c>
      <c r="F113" s="14">
        <v>20.7742159032167</v>
      </c>
      <c r="G113" s="15">
        <v>33284</v>
      </c>
    </row>
    <row r="114" ht="14.25" customHeight="1">
      <c r="A114" s="13" t="s">
        <v>89</v>
      </c>
      <c r="B114" s="14" t="s">
        <v>23</v>
      </c>
      <c r="C114" s="15">
        <v>4191</v>
      </c>
      <c r="D114" s="15">
        <v>599</v>
      </c>
      <c r="E114" s="15">
        <v>713549</v>
      </c>
      <c r="F114" s="14">
        <v>11.5641672821348</v>
      </c>
      <c r="G114" s="15">
        <v>27833</v>
      </c>
    </row>
    <row r="115" ht="14.25" customHeight="1">
      <c r="A115" s="13" t="s">
        <v>89</v>
      </c>
      <c r="B115" s="14" t="s">
        <v>23</v>
      </c>
      <c r="C115" s="15">
        <v>1392</v>
      </c>
      <c r="D115" s="15">
        <v>182</v>
      </c>
      <c r="E115" s="15">
        <v>714759</v>
      </c>
      <c r="F115" s="14">
        <v>5.9603306848881896</v>
      </c>
      <c r="G115" s="15">
        <v>35122</v>
      </c>
    </row>
    <row r="116" ht="14.25" customHeight="1">
      <c r="A116" s="13" t="s">
        <v>89</v>
      </c>
      <c r="B116" s="14" t="s">
        <v>511</v>
      </c>
      <c r="C116" s="15">
        <v>9616</v>
      </c>
      <c r="D116" s="15">
        <v>1089</v>
      </c>
      <c r="E116" s="15">
        <v>723286</v>
      </c>
      <c r="F116" s="14">
        <v>19.258633514266801</v>
      </c>
      <c r="G116" s="15">
        <v>15017</v>
      </c>
    </row>
    <row r="117" ht="14.25" customHeight="1">
      <c r="A117" s="13" t="s">
        <v>89</v>
      </c>
      <c r="B117" s="14" t="s">
        <v>46</v>
      </c>
      <c r="C117" s="15">
        <v>7272</v>
      </c>
      <c r="D117" s="15">
        <v>997</v>
      </c>
      <c r="E117" s="15">
        <v>729561</v>
      </c>
      <c r="F117" s="14">
        <v>13.428486445958599</v>
      </c>
      <c r="G117" s="15">
        <v>26370</v>
      </c>
    </row>
    <row r="118" ht="14.25" customHeight="1">
      <c r="A118" s="13" t="s">
        <v>14</v>
      </c>
      <c r="B118" s="14" t="s">
        <v>511</v>
      </c>
      <c r="C118" s="15">
        <v>1571</v>
      </c>
      <c r="D118" s="15">
        <v>204</v>
      </c>
      <c r="E118" s="15">
        <v>730928</v>
      </c>
      <c r="F118" s="14">
        <v>19.4493848915351</v>
      </c>
      <c r="G118" s="15">
        <v>39252</v>
      </c>
    </row>
    <row r="119" ht="14.25" customHeight="1">
      <c r="A119" s="13" t="s">
        <v>14</v>
      </c>
      <c r="B119" s="14" t="s">
        <v>23</v>
      </c>
      <c r="C119" s="15">
        <v>4631</v>
      </c>
      <c r="D119" s="15">
        <v>317</v>
      </c>
      <c r="E119" s="15">
        <v>735242</v>
      </c>
      <c r="F119" s="14">
        <v>1.3811778978894</v>
      </c>
      <c r="G119" s="15">
        <v>17999</v>
      </c>
    </row>
    <row r="120" ht="14.25" customHeight="1">
      <c r="A120" s="13" t="s">
        <v>14</v>
      </c>
      <c r="B120" s="14" t="s">
        <v>511</v>
      </c>
      <c r="C120" s="15">
        <v>7172</v>
      </c>
      <c r="D120" s="15">
        <v>998</v>
      </c>
      <c r="E120" s="15">
        <v>741416</v>
      </c>
      <c r="F120" s="14">
        <v>18.0667803230575</v>
      </c>
      <c r="G120" s="15">
        <v>32436</v>
      </c>
    </row>
    <row r="121" ht="14.25" customHeight="1">
      <c r="A121" s="13" t="s">
        <v>14</v>
      </c>
      <c r="B121" s="14" t="s">
        <v>510</v>
      </c>
      <c r="C121" s="15">
        <v>8177</v>
      </c>
      <c r="D121" s="15">
        <v>849</v>
      </c>
      <c r="E121" s="15">
        <v>748744</v>
      </c>
      <c r="F121" s="14">
        <v>10.3498659087752</v>
      </c>
      <c r="G121" s="15">
        <v>52963</v>
      </c>
    </row>
    <row r="122" ht="14.25" customHeight="1">
      <c r="A122" s="13" t="s">
        <v>521</v>
      </c>
      <c r="B122" s="14" t="s">
        <v>511</v>
      </c>
      <c r="C122" s="15">
        <v>9433</v>
      </c>
      <c r="D122" s="15">
        <v>1233</v>
      </c>
      <c r="E122" s="15">
        <v>756944</v>
      </c>
      <c r="F122" s="14">
        <v>11.391727789638299</v>
      </c>
      <c r="G122" s="15">
        <v>12096</v>
      </c>
    </row>
    <row r="123" ht="14.25" customHeight="1">
      <c r="A123" s="13" t="s">
        <v>521</v>
      </c>
      <c r="B123" s="14" t="s">
        <v>23</v>
      </c>
      <c r="C123" s="15">
        <v>4897</v>
      </c>
      <c r="D123" s="15">
        <v>683</v>
      </c>
      <c r="E123" s="15">
        <v>761158</v>
      </c>
      <c r="F123" s="14">
        <v>15.062312949479599</v>
      </c>
      <c r="G123" s="15">
        <v>58201</v>
      </c>
    </row>
    <row r="124" ht="14.25" customHeight="1">
      <c r="A124" s="13" t="s">
        <v>521</v>
      </c>
      <c r="B124" s="14" t="s">
        <v>511</v>
      </c>
      <c r="C124" s="15">
        <v>9123</v>
      </c>
      <c r="D124" s="15">
        <v>746</v>
      </c>
      <c r="E124" s="15">
        <v>769535</v>
      </c>
      <c r="F124" s="14">
        <v>6.3086149427901299</v>
      </c>
      <c r="G124" s="15">
        <v>35279</v>
      </c>
    </row>
    <row r="125" ht="14.25" customHeight="1">
      <c r="A125" s="13" t="s">
        <v>521</v>
      </c>
      <c r="B125" s="14" t="s">
        <v>46</v>
      </c>
      <c r="C125" s="15">
        <v>3279</v>
      </c>
      <c r="D125" s="15">
        <v>200</v>
      </c>
      <c r="E125" s="15">
        <v>772614</v>
      </c>
      <c r="F125" s="14">
        <v>5.0212654702089301</v>
      </c>
      <c r="G125" s="15">
        <v>53363</v>
      </c>
    </row>
    <row r="126" ht="14.25" customHeight="1">
      <c r="A126" s="13" t="s">
        <v>99</v>
      </c>
      <c r="B126" s="14" t="s">
        <v>511</v>
      </c>
      <c r="C126" s="15">
        <v>9980</v>
      </c>
      <c r="D126" s="15">
        <v>726</v>
      </c>
      <c r="E126" s="15">
        <v>781868</v>
      </c>
      <c r="F126" s="14">
        <v>4.0220344099003897</v>
      </c>
      <c r="G126" s="15">
        <v>58709</v>
      </c>
    </row>
    <row r="127" ht="14.25" customHeight="1">
      <c r="A127" s="13" t="s">
        <v>99</v>
      </c>
      <c r="B127" s="14" t="s">
        <v>46</v>
      </c>
      <c r="C127" s="15">
        <v>8451</v>
      </c>
      <c r="D127" s="15">
        <v>783</v>
      </c>
      <c r="E127" s="15">
        <v>789536</v>
      </c>
      <c r="F127" s="14">
        <v>12.407287318121</v>
      </c>
      <c r="G127" s="15">
        <v>36201</v>
      </c>
    </row>
    <row r="128" ht="14.25" customHeight="1">
      <c r="A128" s="13" t="s">
        <v>99</v>
      </c>
      <c r="B128" s="14" t="s">
        <v>510</v>
      </c>
      <c r="C128" s="15">
        <v>9906</v>
      </c>
      <c r="D128" s="15">
        <v>1305</v>
      </c>
      <c r="E128" s="15">
        <v>798137</v>
      </c>
      <c r="F128" s="14">
        <v>9.1811305577864406</v>
      </c>
      <c r="G128" s="15">
        <v>29715</v>
      </c>
    </row>
    <row r="129" ht="14.25" customHeight="1">
      <c r="A129" s="13" t="s">
        <v>99</v>
      </c>
      <c r="B129" s="14" t="s">
        <v>46</v>
      </c>
      <c r="C129" s="15">
        <v>1775</v>
      </c>
      <c r="D129" s="15">
        <v>241</v>
      </c>
      <c r="E129" s="15">
        <v>799671</v>
      </c>
      <c r="F129" s="14">
        <v>8.1379717408784398</v>
      </c>
      <c r="G129" s="15">
        <v>39309</v>
      </c>
    </row>
    <row r="130" ht="14.25" customHeight="1">
      <c r="A130" s="13" t="s">
        <v>522</v>
      </c>
      <c r="B130" s="14" t="s">
        <v>511</v>
      </c>
      <c r="C130" s="15">
        <v>7869</v>
      </c>
      <c r="D130" s="15">
        <v>398</v>
      </c>
      <c r="E130" s="15">
        <v>807142</v>
      </c>
      <c r="F130" s="14">
        <v>15.211945357818101</v>
      </c>
      <c r="G130" s="15">
        <v>25078</v>
      </c>
    </row>
    <row r="131" ht="14.25" customHeight="1">
      <c r="A131" s="13" t="s">
        <v>522</v>
      </c>
      <c r="B131" s="14" t="s">
        <v>23</v>
      </c>
      <c r="C131" s="15">
        <v>3247</v>
      </c>
      <c r="D131" s="15">
        <v>328</v>
      </c>
      <c r="E131" s="15">
        <v>810061</v>
      </c>
      <c r="F131" s="14">
        <v>13.941172331466401</v>
      </c>
      <c r="G131" s="15">
        <v>15105</v>
      </c>
    </row>
    <row r="132" ht="14.25" customHeight="1">
      <c r="A132" s="13" t="s">
        <v>522</v>
      </c>
      <c r="B132" s="14" t="s">
        <v>46</v>
      </c>
      <c r="C132" s="15">
        <v>8088</v>
      </c>
      <c r="D132" s="15">
        <v>742</v>
      </c>
      <c r="E132" s="15">
        <v>817407</v>
      </c>
      <c r="F132" s="14">
        <v>14.664542877660701</v>
      </c>
      <c r="G132" s="15">
        <v>39312</v>
      </c>
    </row>
    <row r="133" ht="14.25" customHeight="1">
      <c r="A133" s="13" t="s">
        <v>522</v>
      </c>
      <c r="B133" s="14" t="s">
        <v>510</v>
      </c>
      <c r="C133" s="15">
        <v>1078</v>
      </c>
      <c r="D133" s="15">
        <v>77</v>
      </c>
      <c r="E133" s="15">
        <v>818408</v>
      </c>
      <c r="F133" s="14">
        <v>18.236747441374</v>
      </c>
      <c r="G133" s="15">
        <v>12839</v>
      </c>
    </row>
    <row r="134" ht="14.25" customHeight="1">
      <c r="A134" s="13" t="s">
        <v>523</v>
      </c>
      <c r="B134" s="14" t="s">
        <v>46</v>
      </c>
      <c r="C134" s="15">
        <v>9080</v>
      </c>
      <c r="D134" s="15">
        <v>562</v>
      </c>
      <c r="E134" s="15">
        <v>826926</v>
      </c>
      <c r="F134" s="14">
        <v>7.10837487272138</v>
      </c>
      <c r="G134" s="15">
        <v>13384</v>
      </c>
    </row>
    <row r="135" ht="14.25" customHeight="1">
      <c r="A135" s="13" t="s">
        <v>523</v>
      </c>
      <c r="B135" s="14" t="s">
        <v>46</v>
      </c>
      <c r="C135" s="15">
        <v>8099</v>
      </c>
      <c r="D135" s="15">
        <v>678</v>
      </c>
      <c r="E135" s="15">
        <v>834347</v>
      </c>
      <c r="F135" s="14">
        <v>7.64645884745795</v>
      </c>
      <c r="G135" s="15">
        <v>53619</v>
      </c>
    </row>
    <row r="136" ht="14.25" customHeight="1">
      <c r="A136" s="13" t="s">
        <v>523</v>
      </c>
      <c r="B136" s="14" t="s">
        <v>46</v>
      </c>
      <c r="C136" s="15">
        <v>4926</v>
      </c>
      <c r="D136" s="15">
        <v>710</v>
      </c>
      <c r="E136" s="15">
        <v>838563</v>
      </c>
      <c r="F136" s="14">
        <v>12.9621745772232</v>
      </c>
      <c r="G136" s="15">
        <v>52821</v>
      </c>
    </row>
    <row r="137" ht="14.25" customHeight="1">
      <c r="A137" s="13" t="s">
        <v>523</v>
      </c>
      <c r="B137" s="14" t="s">
        <v>510</v>
      </c>
      <c r="C137" s="15">
        <v>8340</v>
      </c>
      <c r="D137" s="15">
        <v>686</v>
      </c>
      <c r="E137" s="15">
        <v>846217</v>
      </c>
      <c r="F137" s="14">
        <v>7.2013443360272804</v>
      </c>
      <c r="G137" s="15">
        <v>23493</v>
      </c>
    </row>
    <row r="138" ht="14.25" customHeight="1">
      <c r="A138" s="13" t="s">
        <v>181</v>
      </c>
      <c r="B138" s="14" t="s">
        <v>511</v>
      </c>
      <c r="C138" s="15">
        <v>8083</v>
      </c>
      <c r="D138" s="15">
        <v>823</v>
      </c>
      <c r="E138" s="15">
        <v>853477</v>
      </c>
      <c r="F138" s="14">
        <v>4.6300017457998299</v>
      </c>
      <c r="G138" s="15">
        <v>27069</v>
      </c>
    </row>
    <row r="139" ht="14.25" customHeight="1">
      <c r="A139" s="13" t="s">
        <v>181</v>
      </c>
      <c r="B139" s="14" t="s">
        <v>46</v>
      </c>
      <c r="C139" s="15">
        <v>7230</v>
      </c>
      <c r="D139" s="15">
        <v>869</v>
      </c>
      <c r="E139" s="15">
        <v>859838</v>
      </c>
      <c r="F139" s="14">
        <v>7.0117859410726204</v>
      </c>
      <c r="G139" s="15">
        <v>56907</v>
      </c>
    </row>
    <row r="140" ht="14.25" customHeight="1">
      <c r="A140" s="13" t="s">
        <v>181</v>
      </c>
      <c r="B140" s="14" t="s">
        <v>46</v>
      </c>
      <c r="C140" s="15">
        <v>5940</v>
      </c>
      <c r="D140" s="15">
        <v>512</v>
      </c>
      <c r="E140" s="15">
        <v>865266</v>
      </c>
      <c r="F140" s="14">
        <v>15.7972230504839</v>
      </c>
      <c r="G140" s="15">
        <v>17531</v>
      </c>
    </row>
    <row r="141" ht="14.25" customHeight="1">
      <c r="A141" s="13" t="s">
        <v>181</v>
      </c>
      <c r="B141" s="14" t="s">
        <v>23</v>
      </c>
      <c r="C141" s="15">
        <v>4271</v>
      </c>
      <c r="D141" s="15">
        <v>628</v>
      </c>
      <c r="E141" s="15">
        <v>868909</v>
      </c>
      <c r="F141" s="14">
        <v>11.1244100360337</v>
      </c>
      <c r="G141" s="15">
        <v>47051</v>
      </c>
    </row>
    <row r="142" ht="14.25" customHeight="1">
      <c r="A142" s="13" t="s">
        <v>524</v>
      </c>
      <c r="B142" s="14" t="s">
        <v>510</v>
      </c>
      <c r="C142" s="15">
        <v>4456</v>
      </c>
      <c r="D142" s="15">
        <v>651</v>
      </c>
      <c r="E142" s="15">
        <v>872714</v>
      </c>
      <c r="F142" s="14">
        <v>9.5052903929580594</v>
      </c>
      <c r="G142" s="15">
        <v>17736</v>
      </c>
    </row>
    <row r="143" ht="14.25" customHeight="1">
      <c r="A143" s="13" t="s">
        <v>524</v>
      </c>
      <c r="B143" s="14" t="s">
        <v>46</v>
      </c>
      <c r="C143" s="15">
        <v>8788</v>
      </c>
      <c r="D143" s="15">
        <v>660</v>
      </c>
      <c r="E143" s="15">
        <v>880842</v>
      </c>
      <c r="F143" s="14">
        <v>3.7175793161543198</v>
      </c>
      <c r="G143" s="15">
        <v>17710</v>
      </c>
    </row>
    <row r="144" ht="14.25" customHeight="1">
      <c r="A144" s="13" t="s">
        <v>524</v>
      </c>
      <c r="B144" s="14" t="s">
        <v>510</v>
      </c>
      <c r="C144" s="15">
        <v>9599</v>
      </c>
      <c r="D144" s="15">
        <v>957</v>
      </c>
      <c r="E144" s="15">
        <v>889484</v>
      </c>
      <c r="F144" s="14">
        <v>8.7680048207724894</v>
      </c>
      <c r="G144" s="15">
        <v>11619</v>
      </c>
    </row>
    <row r="145" ht="14.25" customHeight="1">
      <c r="A145" s="13" t="s">
        <v>524</v>
      </c>
      <c r="B145" s="14" t="s">
        <v>46</v>
      </c>
      <c r="C145" s="15">
        <v>8650</v>
      </c>
      <c r="D145" s="15">
        <v>692</v>
      </c>
      <c r="E145" s="15">
        <v>897442</v>
      </c>
      <c r="F145" s="14">
        <v>7.6673478620345401</v>
      </c>
      <c r="G145" s="15">
        <v>23975</v>
      </c>
    </row>
    <row r="146" ht="14.25" customHeight="1">
      <c r="A146" s="13" t="s">
        <v>439</v>
      </c>
      <c r="B146" s="14" t="s">
        <v>511</v>
      </c>
      <c r="C146" s="15">
        <v>3711</v>
      </c>
      <c r="D146" s="15">
        <v>291</v>
      </c>
      <c r="E146" s="15">
        <v>900862</v>
      </c>
      <c r="F146" s="14">
        <v>14.2487972630658</v>
      </c>
      <c r="G146" s="15">
        <v>55603</v>
      </c>
    </row>
    <row r="147" ht="14.25" customHeight="1">
      <c r="A147" s="13" t="s">
        <v>439</v>
      </c>
      <c r="B147" s="14" t="s">
        <v>511</v>
      </c>
      <c r="C147" s="15">
        <v>2668</v>
      </c>
      <c r="D147" s="15">
        <v>143</v>
      </c>
      <c r="E147" s="15">
        <v>903387</v>
      </c>
      <c r="F147" s="14">
        <v>15.9033725302666</v>
      </c>
      <c r="G147" s="15">
        <v>33252</v>
      </c>
    </row>
    <row r="148" ht="14.25" customHeight="1">
      <c r="A148" s="13" t="s">
        <v>439</v>
      </c>
      <c r="B148" s="14" t="s">
        <v>46</v>
      </c>
      <c r="C148" s="15">
        <v>1147</v>
      </c>
      <c r="D148" s="15">
        <v>127</v>
      </c>
      <c r="E148" s="15">
        <v>904407</v>
      </c>
      <c r="F148" s="14">
        <v>1.3997016829812201</v>
      </c>
      <c r="G148" s="15">
        <v>25261</v>
      </c>
    </row>
    <row r="149" ht="14.25" customHeight="1">
      <c r="A149" s="13" t="s">
        <v>439</v>
      </c>
      <c r="B149" s="14" t="s">
        <v>511</v>
      </c>
      <c r="C149" s="15">
        <v>7420</v>
      </c>
      <c r="D149" s="15">
        <v>743</v>
      </c>
      <c r="E149" s="15">
        <v>911084</v>
      </c>
      <c r="F149" s="14">
        <v>10.5935347344482</v>
      </c>
      <c r="G149" s="15">
        <v>11431</v>
      </c>
    </row>
    <row r="150" ht="14.25" customHeight="1">
      <c r="A150" s="13" t="s">
        <v>101</v>
      </c>
      <c r="B150" s="14" t="s">
        <v>46</v>
      </c>
      <c r="C150" s="15">
        <v>1365</v>
      </c>
      <c r="D150" s="15">
        <v>75</v>
      </c>
      <c r="E150" s="15">
        <v>912374</v>
      </c>
      <c r="F150" s="14">
        <v>9.2688963078737405</v>
      </c>
      <c r="G150" s="15">
        <v>19067</v>
      </c>
    </row>
    <row r="151" ht="14.25" customHeight="1">
      <c r="A151" s="13" t="s">
        <v>101</v>
      </c>
      <c r="B151" s="14" t="s">
        <v>511</v>
      </c>
      <c r="C151" s="15">
        <v>5531</v>
      </c>
      <c r="D151" s="15">
        <v>430</v>
      </c>
      <c r="E151" s="15">
        <v>917475</v>
      </c>
      <c r="F151" s="14">
        <v>2.7289026948963202</v>
      </c>
      <c r="G151" s="15">
        <v>47481</v>
      </c>
    </row>
    <row r="152" ht="14.25" customHeight="1">
      <c r="A152" s="13" t="s">
        <v>101</v>
      </c>
      <c r="B152" s="14" t="s">
        <v>23</v>
      </c>
      <c r="C152" s="15">
        <v>6330</v>
      </c>
      <c r="D152" s="15">
        <v>891</v>
      </c>
      <c r="E152" s="15">
        <v>922914</v>
      </c>
      <c r="F152" s="14">
        <v>14.7898937495801</v>
      </c>
      <c r="G152" s="15">
        <v>37037</v>
      </c>
    </row>
    <row r="153" ht="14.25" customHeight="1">
      <c r="A153" s="13" t="s">
        <v>101</v>
      </c>
      <c r="B153" s="14" t="s">
        <v>23</v>
      </c>
      <c r="C153" s="15">
        <v>6510</v>
      </c>
      <c r="D153" s="15">
        <v>481</v>
      </c>
      <c r="E153" s="15">
        <v>928943</v>
      </c>
      <c r="F153" s="14">
        <v>2.3800168578696401</v>
      </c>
      <c r="G153" s="15">
        <v>19557</v>
      </c>
    </row>
    <row r="154" ht="14.25" customHeight="1">
      <c r="A154" s="13" t="s">
        <v>114</v>
      </c>
      <c r="B154" s="14" t="s">
        <v>23</v>
      </c>
      <c r="C154" s="15">
        <v>9754</v>
      </c>
      <c r="D154" s="15">
        <v>629</v>
      </c>
      <c r="E154" s="15">
        <v>938068</v>
      </c>
      <c r="F154" s="14">
        <v>3.4123325814333301</v>
      </c>
      <c r="G154" s="15">
        <v>19435</v>
      </c>
    </row>
    <row r="155" ht="14.25" customHeight="1">
      <c r="A155" s="13" t="s">
        <v>114</v>
      </c>
      <c r="B155" s="14" t="s">
        <v>510</v>
      </c>
      <c r="C155" s="15">
        <v>9964</v>
      </c>
      <c r="D155" s="15">
        <v>985</v>
      </c>
      <c r="E155" s="15">
        <v>947047</v>
      </c>
      <c r="F155" s="14">
        <v>1.9837452629067001</v>
      </c>
      <c r="G155" s="15">
        <v>47766</v>
      </c>
    </row>
    <row r="156" ht="14.25" customHeight="1">
      <c r="A156" s="13" t="s">
        <v>114</v>
      </c>
      <c r="B156" s="14" t="s">
        <v>510</v>
      </c>
      <c r="C156" s="15">
        <v>7493</v>
      </c>
      <c r="D156" s="15">
        <v>1113</v>
      </c>
      <c r="E156" s="15">
        <v>953427</v>
      </c>
      <c r="F156" s="14">
        <v>15.684892498324499</v>
      </c>
      <c r="G156" s="15">
        <v>10162</v>
      </c>
    </row>
    <row r="157" ht="14.25" customHeight="1">
      <c r="A157" s="13" t="s">
        <v>114</v>
      </c>
      <c r="B157" s="14" t="s">
        <v>23</v>
      </c>
      <c r="C157" s="15">
        <v>6439</v>
      </c>
      <c r="D157" s="15">
        <v>477</v>
      </c>
      <c r="E157" s="15">
        <v>959389</v>
      </c>
      <c r="F157" s="14">
        <v>7.4744446725989198</v>
      </c>
      <c r="G157" s="15">
        <v>44742</v>
      </c>
    </row>
    <row r="158" ht="14.25" customHeight="1">
      <c r="A158" s="13" t="s">
        <v>158</v>
      </c>
      <c r="B158" s="14" t="s">
        <v>510</v>
      </c>
      <c r="C158" s="15">
        <v>7511</v>
      </c>
      <c r="D158" s="15">
        <v>880</v>
      </c>
      <c r="E158" s="15">
        <v>966020</v>
      </c>
      <c r="F158" s="14">
        <v>4.6083932009689201</v>
      </c>
      <c r="G158" s="15">
        <v>29675</v>
      </c>
    </row>
    <row r="159" ht="14.25" customHeight="1">
      <c r="A159" s="13" t="s">
        <v>158</v>
      </c>
      <c r="B159" s="14" t="s">
        <v>511</v>
      </c>
      <c r="C159" s="15">
        <v>8504</v>
      </c>
      <c r="D159" s="15">
        <v>1072</v>
      </c>
      <c r="E159" s="15">
        <v>973452</v>
      </c>
      <c r="F159" s="14">
        <v>6.5651927367759297</v>
      </c>
      <c r="G159" s="15">
        <v>18461</v>
      </c>
    </row>
    <row r="160" ht="14.25" customHeight="1">
      <c r="A160" s="13" t="s">
        <v>158</v>
      </c>
      <c r="B160" s="14" t="s">
        <v>46</v>
      </c>
      <c r="C160" s="15">
        <v>2246</v>
      </c>
      <c r="D160" s="15">
        <v>165</v>
      </c>
      <c r="E160" s="15">
        <v>975533</v>
      </c>
      <c r="F160" s="14">
        <v>2.90620614576852</v>
      </c>
      <c r="G160" s="15">
        <v>27015</v>
      </c>
    </row>
    <row r="161" ht="14.25" customHeight="1">
      <c r="A161" s="13" t="s">
        <v>158</v>
      </c>
      <c r="B161" s="14" t="s">
        <v>46</v>
      </c>
      <c r="C161" s="15">
        <v>4839</v>
      </c>
      <c r="D161" s="15">
        <v>594</v>
      </c>
      <c r="E161" s="15">
        <v>979778</v>
      </c>
      <c r="F161" s="14">
        <v>2.5803804535313102</v>
      </c>
      <c r="G161" s="15">
        <v>42591</v>
      </c>
    </row>
    <row r="162" ht="14.25" customHeight="1">
      <c r="A162" s="13" t="s">
        <v>525</v>
      </c>
      <c r="B162" s="14" t="s">
        <v>46</v>
      </c>
      <c r="C162" s="15">
        <v>9551</v>
      </c>
      <c r="D162" s="15">
        <v>828</v>
      </c>
      <c r="E162" s="15">
        <v>988501</v>
      </c>
      <c r="F162" s="14">
        <v>1.5250363934887301</v>
      </c>
      <c r="G162" s="15">
        <v>38047</v>
      </c>
    </row>
    <row r="163" ht="14.25" customHeight="1">
      <c r="A163" s="13" t="s">
        <v>525</v>
      </c>
      <c r="B163" s="14" t="s">
        <v>23</v>
      </c>
      <c r="C163" s="15">
        <v>3376</v>
      </c>
      <c r="D163" s="15">
        <v>382</v>
      </c>
      <c r="E163" s="15">
        <v>991495</v>
      </c>
      <c r="F163" s="14">
        <v>3.86940932632035</v>
      </c>
      <c r="G163" s="15">
        <v>44782</v>
      </c>
    </row>
    <row r="164" ht="14.25" customHeight="1">
      <c r="A164" s="13" t="s">
        <v>525</v>
      </c>
      <c r="B164" s="14" t="s">
        <v>510</v>
      </c>
      <c r="C164" s="15">
        <v>4009</v>
      </c>
      <c r="D164" s="15">
        <v>454</v>
      </c>
      <c r="E164" s="15">
        <v>995050</v>
      </c>
      <c r="F164" s="14">
        <v>2.1106477061454201</v>
      </c>
      <c r="G164" s="15">
        <v>19833</v>
      </c>
    </row>
    <row r="165" ht="14.25" customHeight="1">
      <c r="A165" s="13" t="s">
        <v>525</v>
      </c>
      <c r="B165" s="14" t="s">
        <v>511</v>
      </c>
      <c r="C165" s="15">
        <v>2827</v>
      </c>
      <c r="D165" s="15">
        <v>292</v>
      </c>
      <c r="E165" s="15">
        <v>997585</v>
      </c>
      <c r="F165" s="14">
        <v>2.4004972007397898</v>
      </c>
      <c r="G165" s="15">
        <v>17896</v>
      </c>
    </row>
    <row r="166" ht="14.25" customHeight="1">
      <c r="A166" s="13" t="s">
        <v>526</v>
      </c>
      <c r="B166" s="14" t="s">
        <v>511</v>
      </c>
      <c r="C166" s="15">
        <v>7979</v>
      </c>
      <c r="D166" s="15">
        <v>470</v>
      </c>
      <c r="E166" s="15">
        <v>1005094</v>
      </c>
      <c r="F166" s="14">
        <v>10.4308651728097</v>
      </c>
      <c r="G166" s="15">
        <v>42972</v>
      </c>
    </row>
    <row r="167" ht="14.25" customHeight="1">
      <c r="A167" s="13" t="s">
        <v>526</v>
      </c>
      <c r="B167" s="14" t="s">
        <v>23</v>
      </c>
      <c r="C167" s="15">
        <v>9569</v>
      </c>
      <c r="D167" s="15">
        <v>1277</v>
      </c>
      <c r="E167" s="15">
        <v>1013386</v>
      </c>
      <c r="F167" s="14">
        <v>12.4551750270874</v>
      </c>
      <c r="G167" s="15">
        <v>59733</v>
      </c>
    </row>
    <row r="168" ht="14.25" customHeight="1">
      <c r="A168" s="13" t="s">
        <v>526</v>
      </c>
      <c r="B168" s="14" t="s">
        <v>511</v>
      </c>
      <c r="C168" s="15">
        <v>5285</v>
      </c>
      <c r="D168" s="15">
        <v>433</v>
      </c>
      <c r="E168" s="15">
        <v>1018238</v>
      </c>
      <c r="F168" s="14">
        <v>8.7022876773406601</v>
      </c>
      <c r="G168" s="15">
        <v>51800</v>
      </c>
    </row>
    <row r="169" ht="14.25" customHeight="1">
      <c r="A169" s="13" t="s">
        <v>526</v>
      </c>
      <c r="B169" s="14" t="s">
        <v>511</v>
      </c>
      <c r="C169" s="15">
        <v>7910</v>
      </c>
      <c r="D169" s="15">
        <v>543</v>
      </c>
      <c r="E169" s="15">
        <v>1025605</v>
      </c>
      <c r="F169" s="14">
        <v>6.0590578244060804</v>
      </c>
      <c r="G169" s="15">
        <v>40508</v>
      </c>
    </row>
    <row r="170" ht="14.25" customHeight="1">
      <c r="A170" s="13" t="s">
        <v>340</v>
      </c>
      <c r="B170" s="14" t="s">
        <v>511</v>
      </c>
      <c r="C170" s="15">
        <v>9561</v>
      </c>
      <c r="D170" s="15">
        <v>517</v>
      </c>
      <c r="E170" s="15">
        <v>1034649</v>
      </c>
      <c r="F170" s="14">
        <v>6.4086467971263703</v>
      </c>
      <c r="G170" s="15">
        <v>15347</v>
      </c>
    </row>
    <row r="171" ht="14.25" customHeight="1">
      <c r="A171" s="13" t="s">
        <v>340</v>
      </c>
      <c r="B171" s="14" t="s">
        <v>511</v>
      </c>
      <c r="C171" s="15">
        <v>3196</v>
      </c>
      <c r="D171" s="15">
        <v>348</v>
      </c>
      <c r="E171" s="15">
        <v>1037497</v>
      </c>
      <c r="F171" s="14">
        <v>14.0304020156203</v>
      </c>
      <c r="G171" s="15">
        <v>40314</v>
      </c>
    </row>
    <row r="172" ht="14.25" customHeight="1">
      <c r="A172" s="13" t="s">
        <v>340</v>
      </c>
      <c r="B172" s="14" t="s">
        <v>510</v>
      </c>
      <c r="C172" s="15">
        <v>4747</v>
      </c>
      <c r="D172" s="15">
        <v>558</v>
      </c>
      <c r="E172" s="15">
        <v>1041686</v>
      </c>
      <c r="F172" s="14">
        <v>5.7680529449373399</v>
      </c>
      <c r="G172" s="15">
        <v>12643</v>
      </c>
    </row>
    <row r="173" ht="14.25" customHeight="1">
      <c r="A173" s="13" t="s">
        <v>340</v>
      </c>
      <c r="B173" s="14" t="s">
        <v>511</v>
      </c>
      <c r="C173" s="15">
        <v>9843</v>
      </c>
      <c r="D173" s="15">
        <v>508</v>
      </c>
      <c r="E173" s="15">
        <v>1051021</v>
      </c>
      <c r="F173" s="14">
        <v>4.2080986012648696</v>
      </c>
      <c r="G173" s="15">
        <v>50785</v>
      </c>
    </row>
    <row r="174" ht="14.25" customHeight="1">
      <c r="A174" s="13" t="s">
        <v>527</v>
      </c>
      <c r="B174" s="14" t="s">
        <v>46</v>
      </c>
      <c r="C174" s="15">
        <v>6978</v>
      </c>
      <c r="D174" s="15">
        <v>706</v>
      </c>
      <c r="E174" s="15">
        <v>1057293</v>
      </c>
      <c r="F174" s="14">
        <v>5.0574438684451701</v>
      </c>
      <c r="G174" s="15">
        <v>28681</v>
      </c>
    </row>
    <row r="175" ht="14.25" customHeight="1">
      <c r="A175" s="13" t="s">
        <v>527</v>
      </c>
      <c r="B175" s="14" t="s">
        <v>23</v>
      </c>
      <c r="C175" s="15">
        <v>6607</v>
      </c>
      <c r="D175" s="15">
        <v>479</v>
      </c>
      <c r="E175" s="15">
        <v>1063421</v>
      </c>
      <c r="F175" s="14">
        <v>5.5892257158735799</v>
      </c>
      <c r="G175" s="15">
        <v>48328</v>
      </c>
    </row>
    <row r="176" ht="14.25" customHeight="1">
      <c r="A176" s="13" t="s">
        <v>527</v>
      </c>
      <c r="B176" s="14" t="s">
        <v>510</v>
      </c>
      <c r="C176" s="15">
        <v>1769</v>
      </c>
      <c r="D176" s="15">
        <v>202</v>
      </c>
      <c r="E176" s="15">
        <v>1064988</v>
      </c>
      <c r="F176" s="14">
        <v>6.5457075572682504</v>
      </c>
      <c r="G176" s="15">
        <v>25892</v>
      </c>
    </row>
    <row r="177" ht="14.25" customHeight="1">
      <c r="A177" s="13" t="s">
        <v>527</v>
      </c>
      <c r="B177" s="14" t="s">
        <v>511</v>
      </c>
      <c r="C177" s="15">
        <v>1780</v>
      </c>
      <c r="D177" s="15">
        <v>120</v>
      </c>
      <c r="E177" s="15">
        <v>1066648</v>
      </c>
      <c r="F177" s="14">
        <v>13.8647426329961</v>
      </c>
      <c r="G177" s="15">
        <v>57299</v>
      </c>
    </row>
    <row r="178" ht="14.25" customHeight="1">
      <c r="A178" s="13" t="s">
        <v>355</v>
      </c>
      <c r="B178" s="14" t="s">
        <v>510</v>
      </c>
      <c r="C178" s="15">
        <v>7303</v>
      </c>
      <c r="D178" s="15">
        <v>869</v>
      </c>
      <c r="E178" s="15">
        <v>1073082</v>
      </c>
      <c r="F178" s="14">
        <v>8.1237966902808907</v>
      </c>
      <c r="G178" s="15">
        <v>27073</v>
      </c>
    </row>
    <row r="179" ht="14.25" customHeight="1">
      <c r="A179" s="13" t="s">
        <v>355</v>
      </c>
      <c r="B179" s="14" t="s">
        <v>511</v>
      </c>
      <c r="C179" s="15">
        <v>4983</v>
      </c>
      <c r="D179" s="15">
        <v>441</v>
      </c>
      <c r="E179" s="15">
        <v>1077624</v>
      </c>
      <c r="F179" s="14">
        <v>6.89544776285606</v>
      </c>
      <c r="G179" s="15">
        <v>46768</v>
      </c>
    </row>
    <row r="180" ht="14.25" customHeight="1">
      <c r="A180" s="13" t="s">
        <v>355</v>
      </c>
      <c r="B180" s="14" t="s">
        <v>46</v>
      </c>
      <c r="C180" s="15">
        <v>9714</v>
      </c>
      <c r="D180" s="15">
        <v>1395</v>
      </c>
      <c r="E180" s="15">
        <v>1085943</v>
      </c>
      <c r="F180" s="14">
        <v>5.2243073531483697</v>
      </c>
      <c r="G180" s="15">
        <v>40682</v>
      </c>
    </row>
    <row r="181" ht="14.25" customHeight="1">
      <c r="A181" s="13" t="s">
        <v>355</v>
      </c>
      <c r="B181" s="14" t="s">
        <v>23</v>
      </c>
      <c r="C181" s="15">
        <v>1521</v>
      </c>
      <c r="D181" s="15">
        <v>96</v>
      </c>
      <c r="E181" s="15">
        <v>1087368</v>
      </c>
      <c r="F181" s="14">
        <v>12.709772588488899</v>
      </c>
      <c r="G181" s="15">
        <v>42262</v>
      </c>
    </row>
    <row r="182" ht="14.25" customHeight="1">
      <c r="A182" s="13" t="s">
        <v>528</v>
      </c>
      <c r="B182" s="14" t="s">
        <v>511</v>
      </c>
      <c r="C182" s="15">
        <v>8569</v>
      </c>
      <c r="D182" s="15">
        <v>720</v>
      </c>
      <c r="E182" s="15">
        <v>1095217</v>
      </c>
      <c r="F182" s="14">
        <v>9.5896977493957802</v>
      </c>
      <c r="G182" s="15">
        <v>41358</v>
      </c>
    </row>
    <row r="183" ht="14.25" customHeight="1">
      <c r="A183" s="13" t="s">
        <v>528</v>
      </c>
      <c r="B183" s="14" t="s">
        <v>511</v>
      </c>
      <c r="C183" s="15">
        <v>6784</v>
      </c>
      <c r="D183" s="15">
        <v>416</v>
      </c>
      <c r="E183" s="15">
        <v>1101585</v>
      </c>
      <c r="F183" s="14">
        <v>9.3041390360253597</v>
      </c>
      <c r="G183" s="15">
        <v>24289</v>
      </c>
    </row>
    <row r="184" ht="14.25" customHeight="1">
      <c r="A184" s="13" t="s">
        <v>528</v>
      </c>
      <c r="B184" s="14" t="s">
        <v>511</v>
      </c>
      <c r="C184" s="15">
        <v>5583</v>
      </c>
      <c r="D184" s="15">
        <v>795</v>
      </c>
      <c r="E184" s="15">
        <v>1106373</v>
      </c>
      <c r="F184" s="14">
        <v>12.215500559033901</v>
      </c>
      <c r="G184" s="15">
        <v>59823</v>
      </c>
    </row>
    <row r="185" ht="14.25" customHeight="1">
      <c r="A185" s="13" t="s">
        <v>528</v>
      </c>
      <c r="B185" s="14" t="s">
        <v>511</v>
      </c>
      <c r="C185" s="15">
        <v>6946</v>
      </c>
      <c r="D185" s="15">
        <v>956</v>
      </c>
      <c r="E185" s="15">
        <v>1112363</v>
      </c>
      <c r="F185" s="14">
        <v>1.64146056637986</v>
      </c>
      <c r="G185" s="15">
        <v>17927</v>
      </c>
    </row>
    <row r="186" ht="14.25" customHeight="1">
      <c r="A186" s="13" t="s">
        <v>529</v>
      </c>
      <c r="B186" s="14" t="s">
        <v>23</v>
      </c>
      <c r="C186" s="15">
        <v>5941</v>
      </c>
      <c r="D186" s="15">
        <v>450</v>
      </c>
      <c r="E186" s="15">
        <v>1117854</v>
      </c>
      <c r="F186" s="14">
        <v>12.414411899944</v>
      </c>
      <c r="G186" s="15">
        <v>58330</v>
      </c>
    </row>
    <row r="187" ht="14.25" customHeight="1">
      <c r="A187" s="13" t="s">
        <v>529</v>
      </c>
      <c r="B187" s="14" t="s">
        <v>23</v>
      </c>
      <c r="C187" s="15">
        <v>7267</v>
      </c>
      <c r="D187" s="15">
        <v>842</v>
      </c>
      <c r="E187" s="15">
        <v>1124279</v>
      </c>
      <c r="F187" s="14">
        <v>2.2102165031989398</v>
      </c>
      <c r="G187" s="15">
        <v>11171</v>
      </c>
    </row>
    <row r="188" ht="14.25" customHeight="1">
      <c r="A188" s="13" t="s">
        <v>529</v>
      </c>
      <c r="B188" s="14" t="s">
        <v>46</v>
      </c>
      <c r="C188" s="15">
        <v>8128</v>
      </c>
      <c r="D188" s="15">
        <v>1070</v>
      </c>
      <c r="E188" s="15">
        <v>1131337</v>
      </c>
      <c r="F188" s="14">
        <v>8.1114645768679008</v>
      </c>
      <c r="G188" s="15">
        <v>21918</v>
      </c>
    </row>
    <row r="189" ht="14.25" customHeight="1">
      <c r="A189" s="13" t="s">
        <v>529</v>
      </c>
      <c r="B189" s="14" t="s">
        <v>23</v>
      </c>
      <c r="C189" s="15">
        <v>3461</v>
      </c>
      <c r="D189" s="15">
        <v>365</v>
      </c>
      <c r="E189" s="15">
        <v>1134433</v>
      </c>
      <c r="F189" s="14">
        <v>10.2348926732562</v>
      </c>
      <c r="G189" s="15">
        <v>51903</v>
      </c>
    </row>
    <row r="190" ht="14.25" customHeight="1">
      <c r="A190" s="13" t="s">
        <v>313</v>
      </c>
      <c r="B190" s="14" t="s">
        <v>511</v>
      </c>
      <c r="C190" s="15">
        <v>1685</v>
      </c>
      <c r="D190" s="15">
        <v>173</v>
      </c>
      <c r="E190" s="15">
        <v>1135945</v>
      </c>
      <c r="F190" s="14">
        <v>8.77762567729952</v>
      </c>
      <c r="G190" s="15">
        <v>49110</v>
      </c>
    </row>
    <row r="191" ht="14.25" customHeight="1">
      <c r="A191" s="13" t="s">
        <v>313</v>
      </c>
      <c r="B191" s="14" t="s">
        <v>46</v>
      </c>
      <c r="C191" s="15">
        <v>3160</v>
      </c>
      <c r="D191" s="15">
        <v>234</v>
      </c>
      <c r="E191" s="15">
        <v>1138871</v>
      </c>
      <c r="F191" s="14">
        <v>5.6959041015180798</v>
      </c>
      <c r="G191" s="15">
        <v>21929</v>
      </c>
    </row>
    <row r="192" ht="14.25" customHeight="1">
      <c r="A192" s="13" t="s">
        <v>313</v>
      </c>
      <c r="B192" s="14" t="s">
        <v>46</v>
      </c>
      <c r="C192" s="15">
        <v>8031</v>
      </c>
      <c r="D192" s="15">
        <v>476</v>
      </c>
      <c r="E192" s="15">
        <v>1146426</v>
      </c>
      <c r="F192" s="14">
        <v>11.940413075069801</v>
      </c>
      <c r="G192" s="15">
        <v>12539</v>
      </c>
    </row>
    <row r="193" ht="14.25" customHeight="1">
      <c r="A193" s="13" t="s">
        <v>313</v>
      </c>
      <c r="B193" s="14" t="s">
        <v>46</v>
      </c>
      <c r="C193" s="15">
        <v>6341</v>
      </c>
      <c r="D193" s="15">
        <v>885</v>
      </c>
      <c r="E193" s="15">
        <v>1151882</v>
      </c>
      <c r="F193" s="14">
        <v>6.3457020771224801</v>
      </c>
      <c r="G193" s="15">
        <v>46727</v>
      </c>
    </row>
    <row r="194" ht="14.25" customHeight="1">
      <c r="A194" s="13" t="s">
        <v>61</v>
      </c>
      <c r="B194" s="14" t="s">
        <v>511</v>
      </c>
      <c r="C194" s="15">
        <v>1038</v>
      </c>
      <c r="D194" s="15">
        <v>145</v>
      </c>
      <c r="E194" s="15">
        <v>1152775</v>
      </c>
      <c r="F194" s="14">
        <v>11.093752033137401</v>
      </c>
      <c r="G194" s="15">
        <v>55951</v>
      </c>
    </row>
    <row r="195" ht="14.25" customHeight="1">
      <c r="A195" s="13" t="s">
        <v>61</v>
      </c>
      <c r="B195" s="14" t="s">
        <v>510</v>
      </c>
      <c r="C195" s="15">
        <v>5875</v>
      </c>
      <c r="D195" s="15">
        <v>665</v>
      </c>
      <c r="E195" s="15">
        <v>1157985</v>
      </c>
      <c r="F195" s="14">
        <v>6.98713713908211</v>
      </c>
      <c r="G195" s="15">
        <v>32669</v>
      </c>
    </row>
    <row r="196" ht="14.25" customHeight="1">
      <c r="A196" s="13" t="s">
        <v>61</v>
      </c>
      <c r="B196" s="14" t="s">
        <v>511</v>
      </c>
      <c r="C196" s="15">
        <v>2256</v>
      </c>
      <c r="D196" s="15">
        <v>189</v>
      </c>
      <c r="E196" s="15">
        <v>1160052</v>
      </c>
      <c r="F196" s="14">
        <v>2.8935771844710398</v>
      </c>
      <c r="G196" s="15">
        <v>15432</v>
      </c>
    </row>
    <row r="197" ht="14.25" customHeight="1">
      <c r="A197" s="13" t="s">
        <v>61</v>
      </c>
      <c r="B197" s="14" t="s">
        <v>23</v>
      </c>
      <c r="C197" s="15">
        <v>8697</v>
      </c>
      <c r="D197" s="15">
        <v>738</v>
      </c>
      <c r="E197" s="15">
        <v>1168011</v>
      </c>
      <c r="F197" s="14">
        <v>3.8777032065622699</v>
      </c>
      <c r="G197" s="15">
        <v>30644</v>
      </c>
    </row>
    <row r="198" ht="14.25" customHeight="1">
      <c r="A198" s="13" t="s">
        <v>24</v>
      </c>
      <c r="B198" s="14" t="s">
        <v>23</v>
      </c>
      <c r="C198" s="15">
        <v>3196</v>
      </c>
      <c r="D198" s="15">
        <v>391</v>
      </c>
      <c r="E198" s="15">
        <v>1170816</v>
      </c>
      <c r="F198" s="14">
        <v>7.2439221876024904</v>
      </c>
      <c r="G198" s="15">
        <v>28745</v>
      </c>
    </row>
    <row r="199" ht="14.25" customHeight="1">
      <c r="A199" s="13" t="s">
        <v>24</v>
      </c>
      <c r="B199" s="14" t="s">
        <v>511</v>
      </c>
      <c r="C199" s="15">
        <v>8165</v>
      </c>
      <c r="D199" s="15">
        <v>1140</v>
      </c>
      <c r="E199" s="15">
        <v>1177841</v>
      </c>
      <c r="F199" s="14">
        <v>9.0959645656756702</v>
      </c>
      <c r="G199" s="15">
        <v>38228</v>
      </c>
    </row>
    <row r="200" ht="14.25" customHeight="1">
      <c r="A200" s="13" t="s">
        <v>24</v>
      </c>
      <c r="B200" s="14" t="s">
        <v>511</v>
      </c>
      <c r="C200" s="15">
        <v>1301</v>
      </c>
      <c r="D200" s="15">
        <v>180</v>
      </c>
      <c r="E200" s="15">
        <v>1178962</v>
      </c>
      <c r="F200" s="14">
        <v>5.2275645864752196</v>
      </c>
      <c r="G200" s="15">
        <v>44521</v>
      </c>
    </row>
    <row r="201" ht="14.25" customHeight="1">
      <c r="A201" s="13" t="s">
        <v>24</v>
      </c>
      <c r="B201" s="14" t="s">
        <v>46</v>
      </c>
      <c r="C201" s="15">
        <v>8527</v>
      </c>
      <c r="D201" s="15">
        <v>1091</v>
      </c>
      <c r="E201" s="15">
        <v>1186398</v>
      </c>
      <c r="F201" s="14">
        <v>1.67608171962529</v>
      </c>
      <c r="G201" s="15">
        <v>41703</v>
      </c>
    </row>
    <row r="202" ht="14.25" customHeight="1">
      <c r="A202" s="6"/>
    </row>
    <row r="203" ht="14.25" customHeight="1">
      <c r="A203" s="6"/>
    </row>
    <row r="204" ht="14.25" customHeight="1">
      <c r="A204" s="6"/>
    </row>
    <row r="205" ht="14.25" customHeight="1">
      <c r="A205" s="6"/>
    </row>
    <row r="206" ht="14.25" customHeight="1">
      <c r="A206" s="6"/>
    </row>
    <row r="207" ht="14.25" customHeight="1">
      <c r="A207" s="6"/>
    </row>
    <row r="208" ht="14.25" customHeight="1">
      <c r="A208" s="6"/>
    </row>
    <row r="209" ht="14.25" customHeight="1">
      <c r="A209" s="6"/>
    </row>
    <row r="210" ht="14.25" customHeight="1">
      <c r="A210" s="6"/>
    </row>
    <row r="211" ht="14.25" customHeight="1">
      <c r="A211" s="6"/>
    </row>
    <row r="212" ht="14.25" customHeight="1">
      <c r="A212" s="6"/>
    </row>
    <row r="213" ht="14.25" customHeight="1">
      <c r="A213" s="6"/>
    </row>
    <row r="214" ht="14.25" customHeight="1">
      <c r="A214" s="6"/>
    </row>
    <row r="215" ht="14.25" customHeight="1">
      <c r="A215" s="6"/>
    </row>
    <row r="216" ht="14.25" customHeight="1">
      <c r="A216" s="6"/>
    </row>
    <row r="217" ht="14.25" customHeight="1">
      <c r="A217" s="6"/>
    </row>
    <row r="218" ht="14.25" customHeight="1">
      <c r="A218" s="6"/>
    </row>
    <row r="219" ht="14.25" customHeight="1">
      <c r="A219" s="6"/>
    </row>
    <row r="220" ht="14.25" customHeight="1">
      <c r="A220" s="6"/>
    </row>
    <row r="221" ht="14.25" customHeight="1">
      <c r="A221" s="6"/>
    </row>
    <row r="222" ht="14.25" customHeight="1">
      <c r="A222" s="6"/>
    </row>
    <row r="223" ht="14.25" customHeight="1">
      <c r="A223" s="6"/>
    </row>
    <row r="224" ht="14.25" customHeight="1">
      <c r="A224" s="6"/>
    </row>
    <row r="225" ht="14.25" customHeight="1">
      <c r="A225" s="6"/>
    </row>
    <row r="226" ht="14.25" customHeight="1">
      <c r="A226" s="6"/>
    </row>
    <row r="227" ht="14.25" customHeight="1">
      <c r="A227" s="6"/>
    </row>
    <row r="228" ht="14.25" customHeight="1">
      <c r="A228" s="6"/>
    </row>
    <row r="229" ht="14.25" customHeight="1">
      <c r="A229" s="6"/>
    </row>
    <row r="230" ht="14.25" customHeight="1">
      <c r="A230" s="6"/>
    </row>
    <row r="231" ht="14.25" customHeight="1">
      <c r="A231" s="6"/>
    </row>
    <row r="232" ht="14.25" customHeight="1">
      <c r="A232" s="6"/>
    </row>
    <row r="233" ht="14.25" customHeight="1">
      <c r="A233" s="6"/>
    </row>
    <row r="234" ht="14.25" customHeight="1">
      <c r="A234" s="6"/>
    </row>
    <row r="235" ht="14.25" customHeight="1">
      <c r="A235" s="8"/>
    </row>
    <row r="236" ht="14.25" customHeight="1">
      <c r="A236" s="8"/>
    </row>
    <row r="237" ht="14.25" customHeight="1">
      <c r="A237" s="8"/>
    </row>
    <row r="238" ht="14.25" customHeight="1">
      <c r="A238" s="8"/>
    </row>
    <row r="239" ht="14.25" customHeight="1">
      <c r="A239" s="8"/>
    </row>
    <row r="240" ht="14.25" customHeight="1">
      <c r="A240" s="8"/>
    </row>
    <row r="241" ht="14.25" customHeight="1">
      <c r="A241" s="8"/>
    </row>
    <row r="242" ht="14.25" customHeight="1">
      <c r="A242" s="8"/>
    </row>
    <row r="243" ht="14.25" customHeight="1">
      <c r="A243" s="8"/>
    </row>
    <row r="244" ht="14.25" customHeight="1">
      <c r="A244" s="8"/>
    </row>
    <row r="245" ht="14.25" customHeight="1">
      <c r="A245" s="8"/>
    </row>
    <row r="246" ht="14.25" customHeight="1">
      <c r="A246" s="8"/>
    </row>
    <row r="247" ht="14.25" customHeight="1">
      <c r="A247" s="8"/>
    </row>
    <row r="248" ht="14.25" customHeight="1">
      <c r="A248" s="8"/>
    </row>
    <row r="249" ht="14.25" customHeight="1">
      <c r="A249" s="8"/>
    </row>
    <row r="250" ht="14.25" customHeight="1">
      <c r="A250" s="8"/>
    </row>
    <row r="251" ht="14.25" customHeight="1">
      <c r="A251" s="8"/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4" tint="-0.25"/>
  </sheetPr>
  <sheetViews>
    <sheetView workbookViewId="0">
      <selection activeCell="D13" sqref="D13"/>
    </sheetView>
  </sheetViews>
  <sheetFormatPr defaultColWidth="14.45313" defaultRowHeight="15" customHeight="1"/>
  <cols>
    <col min="1" max="1" width="26.08984" customWidth="1"/>
    <col min="2" max="2" width="14.17969" customWidth="1"/>
    <col min="3" max="3" width="15" customWidth="1"/>
    <col min="4" max="4" width="23.45313" customWidth="1"/>
    <col min="5" max="5" width="13.81641" customWidth="1"/>
    <col min="6" max="6" width="15.08984" customWidth="1"/>
    <col min="7" max="7" width="21.90625" customWidth="1"/>
    <col min="8" max="28" width="8.726563" customWidth="1"/>
  </cols>
  <sheetData>
    <row r="1" ht="28" customHeight="1">
      <c r="A1" s="16" t="s">
        <v>530</v>
      </c>
      <c r="B1" s="16" t="s">
        <v>531</v>
      </c>
      <c r="C1" s="16" t="s">
        <v>532</v>
      </c>
      <c r="D1" s="16" t="s">
        <v>533</v>
      </c>
      <c r="E1" s="16" t="s">
        <v>509</v>
      </c>
      <c r="F1" s="16" t="s">
        <v>10</v>
      </c>
      <c r="G1" s="16" t="s">
        <v>534</v>
      </c>
    </row>
    <row r="2" ht="14.25" customHeight="1">
      <c r="A2" s="17" t="s">
        <v>32</v>
      </c>
      <c r="B2" s="18" t="s">
        <v>535</v>
      </c>
      <c r="C2" s="18" t="s">
        <v>266</v>
      </c>
      <c r="D2" s="17" t="s">
        <v>536</v>
      </c>
      <c r="E2" s="19">
        <v>85000</v>
      </c>
      <c r="F2" s="19">
        <v>950000</v>
      </c>
      <c r="G2" s="19">
        <v>0.45000000000000001</v>
      </c>
    </row>
    <row r="3" ht="14.25" customHeight="1">
      <c r="A3" s="17" t="s">
        <v>55</v>
      </c>
      <c r="B3" s="18" t="s">
        <v>537</v>
      </c>
      <c r="C3" s="18" t="s">
        <v>538</v>
      </c>
      <c r="D3" s="17" t="s">
        <v>539</v>
      </c>
      <c r="E3" s="19">
        <v>60000</v>
      </c>
      <c r="F3" s="19">
        <v>780000</v>
      </c>
      <c r="G3" s="19">
        <v>0.38</v>
      </c>
    </row>
    <row r="4" ht="14.25" customHeight="1">
      <c r="A4" s="17" t="s">
        <v>17</v>
      </c>
      <c r="B4" s="18" t="s">
        <v>540</v>
      </c>
      <c r="C4" s="18" t="s">
        <v>249</v>
      </c>
      <c r="D4" s="17" t="s">
        <v>541</v>
      </c>
      <c r="E4" s="19">
        <v>55000</v>
      </c>
      <c r="F4" s="19">
        <v>700000</v>
      </c>
      <c r="G4" s="19">
        <v>0.40999999999999998</v>
      </c>
    </row>
    <row r="5" ht="14.25" customHeight="1">
      <c r="A5" s="17" t="s">
        <v>27</v>
      </c>
      <c r="B5" s="18" t="s">
        <v>542</v>
      </c>
      <c r="C5" s="18" t="s">
        <v>527</v>
      </c>
      <c r="D5" s="17" t="s">
        <v>543</v>
      </c>
      <c r="E5" s="19">
        <v>40000</v>
      </c>
      <c r="F5" s="19">
        <v>550000</v>
      </c>
      <c r="G5" s="19">
        <v>0.32000000000000001</v>
      </c>
    </row>
    <row r="6" ht="14.25" customHeight="1">
      <c r="A6" s="17" t="s">
        <v>21</v>
      </c>
      <c r="B6" s="20">
        <v>45901</v>
      </c>
      <c r="C6" s="20">
        <v>45930</v>
      </c>
      <c r="D6" s="17" t="s">
        <v>544</v>
      </c>
      <c r="E6" s="19">
        <v>75000</v>
      </c>
      <c r="F6" s="19">
        <v>880000</v>
      </c>
      <c r="G6" s="19">
        <v>0.46999999999999997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theme="9" tint="0.4"/>
  </sheetPr>
  <sheetViews>
    <sheetView workbookViewId="0" topLeftCell="C1">
      <selection activeCell="N5" sqref="N5"/>
    </sheetView>
  </sheetViews>
  <sheetFormatPr defaultColWidth="8.90625" defaultRowHeight="14.5"/>
  <cols>
    <col min="1" max="1" width="8.726563" customWidth="1"/>
    <col min="2" max="2" width="10.81641" customWidth="1"/>
    <col min="3" max="3" width="15.17969" style="21" customWidth="1"/>
    <col min="4" max="4" width="14.90625" customWidth="1"/>
    <col min="5" max="5" width="20" customWidth="1"/>
    <col min="6" max="6" width="19.45313" customWidth="1"/>
    <col min="7" max="11" width="8.726563" customWidth="1"/>
    <col min="12" max="12" width="15.63281" customWidth="1"/>
    <col min="13" max="13" width="33.45313" customWidth="1"/>
    <col min="14" max="14" width="16.81641" customWidth="1"/>
  </cols>
  <sheetData>
    <row r="1" s="2" customFormat="1" ht="27" customHeight="1">
      <c r="A1" s="22" t="s">
        <v>545</v>
      </c>
      <c r="B1" s="22" t="s">
        <v>1</v>
      </c>
      <c r="C1" s="22" t="s">
        <v>2</v>
      </c>
      <c r="D1" s="22" t="s">
        <v>546</v>
      </c>
      <c r="E1" s="22" t="s">
        <v>547</v>
      </c>
      <c r="F1" s="22" t="s">
        <v>548</v>
      </c>
      <c r="G1" s="22" t="s">
        <v>5</v>
      </c>
      <c r="H1" s="22" t="s">
        <v>6</v>
      </c>
      <c r="I1" s="22" t="s">
        <v>7</v>
      </c>
      <c r="J1" s="22" t="s">
        <v>8</v>
      </c>
      <c r="K1" s="23" t="s">
        <v>9</v>
      </c>
      <c r="L1" s="22" t="s">
        <v>10</v>
      </c>
      <c r="M1" s="22" t="s">
        <v>11</v>
      </c>
      <c r="N1" s="24" t="s">
        <v>508</v>
      </c>
      <c r="O1"/>
    </row>
    <row r="2">
      <c r="A2" s="25" t="s">
        <v>202</v>
      </c>
      <c r="B2" s="26" t="s">
        <v>46</v>
      </c>
      <c r="C2" s="27">
        <v>45329</v>
      </c>
      <c r="D2" s="26" t="s">
        <v>38</v>
      </c>
      <c r="E2" s="26" t="s">
        <v>549</v>
      </c>
      <c r="F2" s="26" t="s">
        <v>550</v>
      </c>
      <c r="G2" s="28">
        <v>12320</v>
      </c>
      <c r="H2" s="28">
        <v>1157</v>
      </c>
      <c r="I2" s="28">
        <v>365</v>
      </c>
      <c r="J2" s="28">
        <v>584</v>
      </c>
      <c r="K2" s="29">
        <v>66634</v>
      </c>
      <c r="L2" s="28">
        <v>210102</v>
      </c>
      <c r="M2" s="26" t="s">
        <v>32</v>
      </c>
      <c r="N2" s="30">
        <f t="shared" ref="N2:N65" si="0">(G2+H2+I2)/L2</f>
        <v>0.065882285746922897</v>
      </c>
    </row>
    <row r="3">
      <c r="A3" s="25" t="s">
        <v>200</v>
      </c>
      <c r="B3" s="26" t="s">
        <v>511</v>
      </c>
      <c r="C3" s="27">
        <v>45571</v>
      </c>
      <c r="D3" s="26" t="s">
        <v>30</v>
      </c>
      <c r="E3" s="26" t="s">
        <v>549</v>
      </c>
      <c r="F3" s="26" t="s">
        <v>550</v>
      </c>
      <c r="G3" s="28">
        <v>21561</v>
      </c>
      <c r="H3" s="28">
        <v>340</v>
      </c>
      <c r="I3" s="28">
        <v>741</v>
      </c>
      <c r="J3" s="28">
        <v>986</v>
      </c>
      <c r="K3" s="29">
        <v>24826</v>
      </c>
      <c r="L3" s="28">
        <v>198492</v>
      </c>
      <c r="M3" s="26" t="s">
        <v>17</v>
      </c>
      <c r="N3" s="30">
        <f t="shared" si="0"/>
        <v>0.114070088467041</v>
      </c>
    </row>
    <row r="4">
      <c r="A4" s="25" t="s">
        <v>198</v>
      </c>
      <c r="B4" s="26" t="s">
        <v>46</v>
      </c>
      <c r="C4" s="27">
        <v>45517</v>
      </c>
      <c r="D4" s="26" t="s">
        <v>38</v>
      </c>
      <c r="E4" s="26" t="s">
        <v>551</v>
      </c>
      <c r="F4" s="26" t="s">
        <v>552</v>
      </c>
      <c r="G4" s="28">
        <v>6854</v>
      </c>
      <c r="H4" s="28">
        <v>417</v>
      </c>
      <c r="I4" s="28">
        <v>467</v>
      </c>
      <c r="J4" s="28">
        <v>1003</v>
      </c>
      <c r="K4" s="29">
        <v>61333</v>
      </c>
      <c r="L4" s="28">
        <v>40281</v>
      </c>
      <c r="M4" s="26" t="s">
        <v>17</v>
      </c>
      <c r="N4" s="30">
        <f t="shared" si="0"/>
        <v>0.19210049402944299</v>
      </c>
    </row>
    <row r="5">
      <c r="A5" s="25" t="s">
        <v>196</v>
      </c>
      <c r="B5" s="26" t="s">
        <v>46</v>
      </c>
      <c r="C5" s="27">
        <v>45574</v>
      </c>
      <c r="D5" s="26" t="s">
        <v>38</v>
      </c>
      <c r="E5" s="26" t="s">
        <v>553</v>
      </c>
      <c r="F5" s="26" t="s">
        <v>554</v>
      </c>
      <c r="G5" s="28">
        <v>6637</v>
      </c>
      <c r="H5" s="28">
        <v>595</v>
      </c>
      <c r="I5" s="28">
        <v>161</v>
      </c>
      <c r="J5" s="28">
        <v>2653</v>
      </c>
      <c r="K5" s="29">
        <v>19334</v>
      </c>
      <c r="L5" s="28">
        <v>131155</v>
      </c>
      <c r="M5" s="26" t="s">
        <v>27</v>
      </c>
      <c r="N5" s="30">
        <f t="shared" si="0"/>
        <v>0.056368419046166698</v>
      </c>
    </row>
    <row r="6">
      <c r="A6" s="25" t="s">
        <v>194</v>
      </c>
      <c r="B6" s="26" t="s">
        <v>46</v>
      </c>
      <c r="C6" s="27">
        <v>45515</v>
      </c>
      <c r="D6" s="26" t="s">
        <v>25</v>
      </c>
      <c r="E6" s="26" t="s">
        <v>555</v>
      </c>
      <c r="F6" s="26" t="s">
        <v>556</v>
      </c>
      <c r="G6" s="28">
        <v>23499</v>
      </c>
      <c r="H6" s="28">
        <v>562</v>
      </c>
      <c r="I6" s="28">
        <v>964</v>
      </c>
      <c r="J6" s="28">
        <v>2557</v>
      </c>
      <c r="K6" s="29">
        <v>56890</v>
      </c>
      <c r="L6" s="28">
        <v>218686</v>
      </c>
      <c r="M6" s="26" t="s">
        <v>32</v>
      </c>
      <c r="N6" s="30">
        <f t="shared" si="0"/>
        <v>0.11443347996670999</v>
      </c>
    </row>
    <row r="7">
      <c r="A7" s="25" t="s">
        <v>193</v>
      </c>
      <c r="B7" s="26" t="s">
        <v>46</v>
      </c>
      <c r="C7" s="27">
        <v>45484</v>
      </c>
      <c r="D7" s="26" t="s">
        <v>38</v>
      </c>
      <c r="E7" s="26" t="s">
        <v>557</v>
      </c>
      <c r="F7" s="26" t="s">
        <v>555</v>
      </c>
      <c r="G7" s="28">
        <v>11550</v>
      </c>
      <c r="H7" s="28">
        <v>501</v>
      </c>
      <c r="I7" s="28">
        <v>646</v>
      </c>
      <c r="J7" s="28">
        <v>773</v>
      </c>
      <c r="K7" s="29">
        <v>17841</v>
      </c>
      <c r="L7" s="28">
        <v>237576</v>
      </c>
      <c r="M7" s="26" t="s">
        <v>32</v>
      </c>
      <c r="N7" s="30">
        <f t="shared" si="0"/>
        <v>0.053443950567397397</v>
      </c>
    </row>
    <row r="8">
      <c r="A8" s="25" t="s">
        <v>191</v>
      </c>
      <c r="B8" s="26" t="s">
        <v>46</v>
      </c>
      <c r="C8" s="27">
        <v>45608</v>
      </c>
      <c r="D8" s="26" t="s">
        <v>38</v>
      </c>
      <c r="E8" s="26" t="s">
        <v>557</v>
      </c>
      <c r="F8" s="26" t="s">
        <v>555</v>
      </c>
      <c r="G8" s="28">
        <v>22645</v>
      </c>
      <c r="H8" s="28">
        <v>545</v>
      </c>
      <c r="I8" s="28">
        <v>972</v>
      </c>
      <c r="J8" s="28">
        <v>321</v>
      </c>
      <c r="K8" s="29">
        <v>8396</v>
      </c>
      <c r="L8" s="28">
        <v>121537</v>
      </c>
      <c r="M8" s="26" t="s">
        <v>55</v>
      </c>
      <c r="N8" s="30">
        <f t="shared" si="0"/>
        <v>0.198803656499667</v>
      </c>
    </row>
    <row r="9">
      <c r="A9" s="25" t="s">
        <v>190</v>
      </c>
      <c r="B9" s="26" t="s">
        <v>511</v>
      </c>
      <c r="C9" s="27">
        <v>45586</v>
      </c>
      <c r="D9" s="26" t="s">
        <v>25</v>
      </c>
      <c r="E9" s="26" t="s">
        <v>558</v>
      </c>
      <c r="F9" s="26" t="s">
        <v>559</v>
      </c>
      <c r="G9" s="28">
        <v>19715</v>
      </c>
      <c r="H9" s="28">
        <v>1014</v>
      </c>
      <c r="I9" s="28">
        <v>718</v>
      </c>
      <c r="J9" s="28">
        <v>1185</v>
      </c>
      <c r="K9" s="29">
        <v>37625</v>
      </c>
      <c r="L9" s="28">
        <v>191409</v>
      </c>
      <c r="M9" s="26" t="s">
        <v>17</v>
      </c>
      <c r="N9" s="30">
        <f t="shared" si="0"/>
        <v>0.11204802282024399</v>
      </c>
    </row>
    <row r="10">
      <c r="A10" s="25" t="s">
        <v>189</v>
      </c>
      <c r="B10" s="26" t="s">
        <v>511</v>
      </c>
      <c r="C10" s="27">
        <v>45924</v>
      </c>
      <c r="D10" s="26" t="s">
        <v>25</v>
      </c>
      <c r="E10" s="26" t="s">
        <v>549</v>
      </c>
      <c r="F10" s="26" t="s">
        <v>550</v>
      </c>
      <c r="G10" s="28">
        <v>12209</v>
      </c>
      <c r="H10" s="28">
        <v>222</v>
      </c>
      <c r="I10" s="28">
        <v>479</v>
      </c>
      <c r="J10" s="28">
        <v>2748</v>
      </c>
      <c r="K10" s="29">
        <v>24615</v>
      </c>
      <c r="L10" s="28">
        <v>74707</v>
      </c>
      <c r="M10" s="26" t="s">
        <v>21</v>
      </c>
      <c r="N10" s="30">
        <f t="shared" si="0"/>
        <v>0.17280843829895501</v>
      </c>
    </row>
    <row r="11">
      <c r="A11" s="25" t="s">
        <v>187</v>
      </c>
      <c r="B11" s="26" t="s">
        <v>46</v>
      </c>
      <c r="C11" s="27">
        <v>45357</v>
      </c>
      <c r="D11" s="26" t="s">
        <v>15</v>
      </c>
      <c r="E11" s="26" t="s">
        <v>555</v>
      </c>
      <c r="F11" s="26" t="s">
        <v>560</v>
      </c>
      <c r="G11" s="28">
        <v>8941</v>
      </c>
      <c r="H11" s="28">
        <v>911</v>
      </c>
      <c r="I11" s="28">
        <v>166</v>
      </c>
      <c r="J11" s="28">
        <v>1217</v>
      </c>
      <c r="K11" s="29">
        <v>68817</v>
      </c>
      <c r="L11" s="28">
        <v>221180</v>
      </c>
      <c r="M11" s="26" t="s">
        <v>55</v>
      </c>
      <c r="N11" s="30">
        <f t="shared" si="0"/>
        <v>0.045293426168731402</v>
      </c>
    </row>
    <row r="12">
      <c r="A12" s="25" t="s">
        <v>43</v>
      </c>
      <c r="B12" s="26" t="s">
        <v>510</v>
      </c>
      <c r="C12" s="27">
        <v>45534</v>
      </c>
      <c r="D12" s="26" t="s">
        <v>38</v>
      </c>
      <c r="E12" s="26" t="s">
        <v>558</v>
      </c>
      <c r="F12" s="26" t="s">
        <v>559</v>
      </c>
      <c r="G12" s="28">
        <v>6804</v>
      </c>
      <c r="H12" s="28">
        <v>787</v>
      </c>
      <c r="I12" s="28">
        <v>970</v>
      </c>
      <c r="J12" s="28">
        <v>1095</v>
      </c>
      <c r="K12" s="29">
        <v>56343</v>
      </c>
      <c r="L12" s="28">
        <v>164677</v>
      </c>
      <c r="M12" s="26" t="s">
        <v>17</v>
      </c>
      <c r="N12" s="30">
        <f t="shared" si="0"/>
        <v>0.0519866162244879</v>
      </c>
    </row>
    <row r="13">
      <c r="A13" s="25" t="s">
        <v>186</v>
      </c>
      <c r="B13" s="26" t="s">
        <v>511</v>
      </c>
      <c r="C13" s="27">
        <v>45923</v>
      </c>
      <c r="D13" s="26" t="s">
        <v>15</v>
      </c>
      <c r="E13" s="26" t="s">
        <v>551</v>
      </c>
      <c r="F13" s="26" t="s">
        <v>552</v>
      </c>
      <c r="G13" s="28">
        <v>10017</v>
      </c>
      <c r="H13" s="28">
        <v>1357</v>
      </c>
      <c r="I13" s="28">
        <v>966</v>
      </c>
      <c r="J13" s="28">
        <v>2871</v>
      </c>
      <c r="K13" s="29">
        <v>14800</v>
      </c>
      <c r="L13" s="28">
        <v>171691</v>
      </c>
      <c r="M13" s="26" t="s">
        <v>21</v>
      </c>
      <c r="N13" s="30">
        <f t="shared" si="0"/>
        <v>0.071873307278774098</v>
      </c>
    </row>
    <row r="14">
      <c r="A14" s="25" t="s">
        <v>184</v>
      </c>
      <c r="B14" s="26" t="s">
        <v>23</v>
      </c>
      <c r="C14" s="27">
        <v>45480</v>
      </c>
      <c r="D14" s="26" t="s">
        <v>25</v>
      </c>
      <c r="E14" s="26" t="s">
        <v>558</v>
      </c>
      <c r="F14" s="26" t="s">
        <v>559</v>
      </c>
      <c r="G14" s="28">
        <v>24625</v>
      </c>
      <c r="H14" s="28">
        <v>749</v>
      </c>
      <c r="I14" s="28">
        <v>193</v>
      </c>
      <c r="J14" s="28">
        <v>1340</v>
      </c>
      <c r="K14" s="29">
        <v>4890</v>
      </c>
      <c r="L14" s="28">
        <v>189381</v>
      </c>
      <c r="M14" s="26" t="s">
        <v>17</v>
      </c>
      <c r="N14" s="30">
        <f t="shared" si="0"/>
        <v>0.13500298340382599</v>
      </c>
    </row>
    <row r="15">
      <c r="A15" s="25" t="s">
        <v>182</v>
      </c>
      <c r="B15" s="26" t="s">
        <v>46</v>
      </c>
      <c r="C15" s="27">
        <v>45449</v>
      </c>
      <c r="D15" s="26" t="s">
        <v>25</v>
      </c>
      <c r="E15" s="26" t="s">
        <v>557</v>
      </c>
      <c r="F15" s="26" t="s">
        <v>555</v>
      </c>
      <c r="G15" s="28">
        <v>11521</v>
      </c>
      <c r="H15" s="28">
        <v>1071</v>
      </c>
      <c r="I15" s="28">
        <v>762</v>
      </c>
      <c r="J15" s="28">
        <v>2539</v>
      </c>
      <c r="K15" s="29">
        <v>12701</v>
      </c>
      <c r="L15" s="28">
        <v>238350</v>
      </c>
      <c r="M15" s="26" t="s">
        <v>27</v>
      </c>
      <c r="N15" s="30">
        <f t="shared" si="0"/>
        <v>0.056026851269142003</v>
      </c>
    </row>
    <row r="16">
      <c r="A16" s="25" t="s">
        <v>180</v>
      </c>
      <c r="B16" s="26" t="s">
        <v>510</v>
      </c>
      <c r="C16" s="27">
        <v>45684</v>
      </c>
      <c r="D16" s="26" t="s">
        <v>38</v>
      </c>
      <c r="E16" s="26" t="s">
        <v>557</v>
      </c>
      <c r="F16" s="26" t="s">
        <v>555</v>
      </c>
      <c r="G16" s="28">
        <v>8949</v>
      </c>
      <c r="H16" s="28">
        <v>1477</v>
      </c>
      <c r="I16" s="28">
        <v>424</v>
      </c>
      <c r="J16" s="28">
        <v>1030</v>
      </c>
      <c r="K16" s="29">
        <v>58052</v>
      </c>
      <c r="L16" s="28">
        <v>123310</v>
      </c>
      <c r="M16" s="26" t="s">
        <v>17</v>
      </c>
      <c r="N16" s="30">
        <f t="shared" si="0"/>
        <v>0.087989619657773105</v>
      </c>
    </row>
    <row r="17">
      <c r="A17" s="25" t="s">
        <v>179</v>
      </c>
      <c r="B17" s="26" t="s">
        <v>510</v>
      </c>
      <c r="C17" s="27">
        <v>45766</v>
      </c>
      <c r="D17" s="26" t="s">
        <v>15</v>
      </c>
      <c r="E17" s="26" t="s">
        <v>549</v>
      </c>
      <c r="F17" s="26" t="s">
        <v>550</v>
      </c>
      <c r="G17" s="28">
        <v>8881</v>
      </c>
      <c r="H17" s="28">
        <v>210</v>
      </c>
      <c r="I17" s="28">
        <v>673</v>
      </c>
      <c r="J17" s="28">
        <v>1565</v>
      </c>
      <c r="K17" s="29">
        <v>24847</v>
      </c>
      <c r="L17" s="28">
        <v>156891</v>
      </c>
      <c r="M17" s="26" t="s">
        <v>27</v>
      </c>
      <c r="N17" s="30">
        <f t="shared" si="0"/>
        <v>0.062234290048505003</v>
      </c>
    </row>
    <row r="18">
      <c r="A18" s="25" t="s">
        <v>177</v>
      </c>
      <c r="B18" s="26" t="s">
        <v>511</v>
      </c>
      <c r="C18" s="27">
        <v>45547</v>
      </c>
      <c r="D18" s="26" t="s">
        <v>15</v>
      </c>
      <c r="E18" s="26" t="s">
        <v>558</v>
      </c>
      <c r="F18" s="26" t="s">
        <v>559</v>
      </c>
      <c r="G18" s="28">
        <v>15051</v>
      </c>
      <c r="H18" s="28">
        <v>268</v>
      </c>
      <c r="I18" s="28">
        <v>251</v>
      </c>
      <c r="J18" s="28">
        <v>783</v>
      </c>
      <c r="K18" s="29">
        <v>34154</v>
      </c>
      <c r="L18" s="28">
        <v>119671</v>
      </c>
      <c r="M18" s="26" t="s">
        <v>32</v>
      </c>
      <c r="N18" s="30">
        <f t="shared" si="0"/>
        <v>0.13010670922779999</v>
      </c>
    </row>
    <row r="19">
      <c r="A19" s="25" t="s">
        <v>175</v>
      </c>
      <c r="B19" s="26" t="s">
        <v>23</v>
      </c>
      <c r="C19" s="27">
        <v>45580</v>
      </c>
      <c r="D19" s="26" t="s">
        <v>38</v>
      </c>
      <c r="E19" s="26" t="s">
        <v>35</v>
      </c>
      <c r="F19" s="26" t="s">
        <v>561</v>
      </c>
      <c r="G19" s="28">
        <v>17781</v>
      </c>
      <c r="H19" s="28">
        <v>993</v>
      </c>
      <c r="I19" s="28">
        <v>627</v>
      </c>
      <c r="J19" s="28">
        <v>2187</v>
      </c>
      <c r="K19" s="29">
        <v>9609</v>
      </c>
      <c r="L19" s="28">
        <v>66155</v>
      </c>
      <c r="M19" s="26" t="s">
        <v>32</v>
      </c>
      <c r="N19" s="30">
        <f t="shared" si="0"/>
        <v>0.29326581513113098</v>
      </c>
    </row>
    <row r="20">
      <c r="A20" s="25" t="s">
        <v>173</v>
      </c>
      <c r="B20" s="26" t="s">
        <v>511</v>
      </c>
      <c r="C20" s="27">
        <v>45497</v>
      </c>
      <c r="D20" s="26" t="s">
        <v>30</v>
      </c>
      <c r="E20" s="26" t="s">
        <v>549</v>
      </c>
      <c r="F20" s="26" t="s">
        <v>550</v>
      </c>
      <c r="G20" s="28">
        <v>22914</v>
      </c>
      <c r="H20" s="28">
        <v>954</v>
      </c>
      <c r="I20" s="28">
        <v>584</v>
      </c>
      <c r="J20" s="28">
        <v>1519</v>
      </c>
      <c r="K20" s="29">
        <v>13637</v>
      </c>
      <c r="L20" s="28">
        <v>49847</v>
      </c>
      <c r="M20" s="26" t="s">
        <v>17</v>
      </c>
      <c r="N20" s="30">
        <f t="shared" si="0"/>
        <v>0.49054105563022798</v>
      </c>
    </row>
    <row r="21">
      <c r="A21" s="25" t="s">
        <v>171</v>
      </c>
      <c r="B21" s="26" t="s">
        <v>510</v>
      </c>
      <c r="C21" s="27">
        <v>45584</v>
      </c>
      <c r="D21" s="26" t="s">
        <v>38</v>
      </c>
      <c r="E21" s="26" t="s">
        <v>555</v>
      </c>
      <c r="F21" s="26" t="s">
        <v>556</v>
      </c>
      <c r="G21" s="28">
        <v>6673</v>
      </c>
      <c r="H21" s="28">
        <v>826</v>
      </c>
      <c r="I21" s="28">
        <v>321</v>
      </c>
      <c r="J21" s="28">
        <v>577</v>
      </c>
      <c r="K21" s="29">
        <v>19262</v>
      </c>
      <c r="L21" s="28">
        <v>132324</v>
      </c>
      <c r="M21" s="26" t="s">
        <v>55</v>
      </c>
      <c r="N21" s="30">
        <f t="shared" si="0"/>
        <v>0.059097367068710098</v>
      </c>
    </row>
    <row r="22">
      <c r="A22" s="25" t="s">
        <v>170</v>
      </c>
      <c r="B22" s="26" t="s">
        <v>511</v>
      </c>
      <c r="C22" s="27">
        <v>45456</v>
      </c>
      <c r="D22" s="26" t="s">
        <v>15</v>
      </c>
      <c r="E22" s="26" t="s">
        <v>562</v>
      </c>
      <c r="F22" s="26" t="s">
        <v>563</v>
      </c>
      <c r="G22" s="28">
        <v>14173</v>
      </c>
      <c r="H22" s="28">
        <v>294</v>
      </c>
      <c r="I22" s="28">
        <v>257</v>
      </c>
      <c r="J22" s="28">
        <v>1288</v>
      </c>
      <c r="K22" s="29">
        <v>39466</v>
      </c>
      <c r="L22" s="28">
        <v>55563</v>
      </c>
      <c r="M22" s="26" t="s">
        <v>55</v>
      </c>
      <c r="N22" s="30">
        <f t="shared" si="0"/>
        <v>0.26499649047027701</v>
      </c>
    </row>
    <row r="23">
      <c r="A23" s="25" t="s">
        <v>40</v>
      </c>
      <c r="B23" s="26" t="s">
        <v>23</v>
      </c>
      <c r="C23" s="27">
        <v>45486</v>
      </c>
      <c r="D23" s="26" t="s">
        <v>30</v>
      </c>
      <c r="E23" s="26" t="s">
        <v>553</v>
      </c>
      <c r="F23" s="26" t="s">
        <v>554</v>
      </c>
      <c r="G23" s="28">
        <v>18639</v>
      </c>
      <c r="H23" s="28">
        <v>1360</v>
      </c>
      <c r="I23" s="28">
        <v>898</v>
      </c>
      <c r="J23" s="28">
        <v>2011</v>
      </c>
      <c r="K23" s="29">
        <v>42841</v>
      </c>
      <c r="L23" s="28">
        <v>247779</v>
      </c>
      <c r="M23" s="26" t="s">
        <v>32</v>
      </c>
      <c r="N23" s="30">
        <f t="shared" si="0"/>
        <v>0.084337252148083602</v>
      </c>
    </row>
    <row r="24">
      <c r="A24" s="25" t="s">
        <v>168</v>
      </c>
      <c r="B24" s="26" t="s">
        <v>510</v>
      </c>
      <c r="C24" s="27">
        <v>45922</v>
      </c>
      <c r="D24" s="26" t="s">
        <v>30</v>
      </c>
      <c r="E24" s="26" t="s">
        <v>551</v>
      </c>
      <c r="F24" s="26" t="s">
        <v>552</v>
      </c>
      <c r="G24" s="28">
        <v>8996</v>
      </c>
      <c r="H24" s="28">
        <v>329</v>
      </c>
      <c r="I24" s="28">
        <v>378</v>
      </c>
      <c r="J24" s="28">
        <v>2384</v>
      </c>
      <c r="K24" s="29">
        <v>39404</v>
      </c>
      <c r="L24" s="28">
        <v>242724</v>
      </c>
      <c r="M24" s="26" t="s">
        <v>21</v>
      </c>
      <c r="N24" s="30">
        <f t="shared" si="0"/>
        <v>0.039975445361810101</v>
      </c>
    </row>
    <row r="25">
      <c r="A25" s="25" t="s">
        <v>167</v>
      </c>
      <c r="B25" s="26" t="s">
        <v>511</v>
      </c>
      <c r="C25" s="27">
        <v>45460</v>
      </c>
      <c r="D25" s="26" t="s">
        <v>15</v>
      </c>
      <c r="E25" s="26" t="s">
        <v>549</v>
      </c>
      <c r="F25" s="26" t="s">
        <v>550</v>
      </c>
      <c r="G25" s="28">
        <v>3252</v>
      </c>
      <c r="H25" s="28">
        <v>1043</v>
      </c>
      <c r="I25" s="28">
        <v>647</v>
      </c>
      <c r="J25" s="28">
        <v>1545</v>
      </c>
      <c r="K25" s="29">
        <v>18859</v>
      </c>
      <c r="L25" s="28">
        <v>222958</v>
      </c>
      <c r="M25" s="26" t="s">
        <v>17</v>
      </c>
      <c r="N25" s="30">
        <f t="shared" si="0"/>
        <v>0.022165609666394599</v>
      </c>
    </row>
    <row r="26">
      <c r="A26" s="25" t="s">
        <v>166</v>
      </c>
      <c r="B26" s="26" t="s">
        <v>511</v>
      </c>
      <c r="C26" s="27">
        <v>45750</v>
      </c>
      <c r="D26" s="26" t="s">
        <v>38</v>
      </c>
      <c r="E26" s="26" t="s">
        <v>557</v>
      </c>
      <c r="F26" s="26" t="s">
        <v>555</v>
      </c>
      <c r="G26" s="28">
        <v>13470</v>
      </c>
      <c r="H26" s="28">
        <v>523</v>
      </c>
      <c r="I26" s="28">
        <v>280</v>
      </c>
      <c r="J26" s="28">
        <v>2682</v>
      </c>
      <c r="K26" s="29">
        <v>8538</v>
      </c>
      <c r="L26" s="28">
        <v>95204</v>
      </c>
      <c r="M26" s="26" t="s">
        <v>17</v>
      </c>
      <c r="N26" s="30">
        <f t="shared" si="0"/>
        <v>0.14992017142136899</v>
      </c>
    </row>
    <row r="27">
      <c r="A27" s="25" t="s">
        <v>164</v>
      </c>
      <c r="B27" s="26" t="s">
        <v>46</v>
      </c>
      <c r="C27" s="27">
        <v>45484</v>
      </c>
      <c r="D27" s="26" t="s">
        <v>38</v>
      </c>
      <c r="E27" s="26" t="s">
        <v>35</v>
      </c>
      <c r="F27" s="26" t="s">
        <v>561</v>
      </c>
      <c r="G27" s="28">
        <v>17254</v>
      </c>
      <c r="H27" s="28">
        <v>246</v>
      </c>
      <c r="I27" s="28">
        <v>952</v>
      </c>
      <c r="J27" s="28">
        <v>871</v>
      </c>
      <c r="K27" s="29">
        <v>14957</v>
      </c>
      <c r="L27" s="28">
        <v>75946</v>
      </c>
      <c r="M27" s="26" t="s">
        <v>55</v>
      </c>
      <c r="N27" s="30">
        <f t="shared" si="0"/>
        <v>0.242962104653306</v>
      </c>
    </row>
    <row r="28">
      <c r="A28" s="25" t="s">
        <v>162</v>
      </c>
      <c r="B28" s="26" t="s">
        <v>23</v>
      </c>
      <c r="C28" s="27">
        <v>45299</v>
      </c>
      <c r="D28" s="26" t="s">
        <v>15</v>
      </c>
      <c r="E28" s="26" t="s">
        <v>564</v>
      </c>
      <c r="F28" s="26" t="s">
        <v>565</v>
      </c>
      <c r="G28" s="28">
        <v>21758</v>
      </c>
      <c r="H28" s="28">
        <v>1380</v>
      </c>
      <c r="I28" s="28">
        <v>188</v>
      </c>
      <c r="J28" s="28">
        <v>1735</v>
      </c>
      <c r="K28" s="29">
        <v>20998</v>
      </c>
      <c r="L28" s="28">
        <v>147803</v>
      </c>
      <c r="M28" s="26" t="s">
        <v>55</v>
      </c>
      <c r="N28" s="30">
        <f t="shared" si="0"/>
        <v>0.157818176897627</v>
      </c>
    </row>
    <row r="29">
      <c r="A29" s="25" t="s">
        <v>160</v>
      </c>
      <c r="B29" s="26" t="s">
        <v>46</v>
      </c>
      <c r="C29" s="27">
        <v>45593</v>
      </c>
      <c r="D29" s="26" t="s">
        <v>38</v>
      </c>
      <c r="E29" s="26" t="s">
        <v>555</v>
      </c>
      <c r="F29" s="26" t="s">
        <v>556</v>
      </c>
      <c r="G29" s="28">
        <v>21198</v>
      </c>
      <c r="H29" s="28">
        <v>1484</v>
      </c>
      <c r="I29" s="28">
        <v>174</v>
      </c>
      <c r="J29" s="28">
        <v>1293</v>
      </c>
      <c r="K29" s="29">
        <v>16330</v>
      </c>
      <c r="L29" s="28">
        <v>111635</v>
      </c>
      <c r="M29" s="26" t="s">
        <v>32</v>
      </c>
      <c r="N29" s="30">
        <f t="shared" si="0"/>
        <v>0.204738657231155</v>
      </c>
    </row>
    <row r="30">
      <c r="A30" s="25" t="s">
        <v>159</v>
      </c>
      <c r="B30" s="26" t="s">
        <v>23</v>
      </c>
      <c r="C30" s="27">
        <v>45921</v>
      </c>
      <c r="D30" s="26" t="s">
        <v>30</v>
      </c>
      <c r="E30" s="26" t="s">
        <v>562</v>
      </c>
      <c r="F30" s="26" t="s">
        <v>563</v>
      </c>
      <c r="G30" s="28">
        <v>23103</v>
      </c>
      <c r="H30" s="28">
        <v>1380</v>
      </c>
      <c r="I30" s="28">
        <v>191</v>
      </c>
      <c r="J30" s="28">
        <v>1547</v>
      </c>
      <c r="K30" s="29">
        <v>77798</v>
      </c>
      <c r="L30" s="28">
        <v>148856</v>
      </c>
      <c r="M30" s="26" t="s">
        <v>21</v>
      </c>
      <c r="N30" s="30">
        <f t="shared" si="0"/>
        <v>0.16575751061428501</v>
      </c>
    </row>
    <row r="31">
      <c r="A31" s="25" t="s">
        <v>157</v>
      </c>
      <c r="B31" s="26" t="s">
        <v>46</v>
      </c>
      <c r="C31" s="27">
        <v>45719</v>
      </c>
      <c r="D31" s="26" t="s">
        <v>38</v>
      </c>
      <c r="E31" s="26" t="s">
        <v>555</v>
      </c>
      <c r="F31" s="26" t="s">
        <v>560</v>
      </c>
      <c r="G31" s="28">
        <v>24928</v>
      </c>
      <c r="H31" s="28">
        <v>214</v>
      </c>
      <c r="I31" s="28">
        <v>765</v>
      </c>
      <c r="J31" s="28">
        <v>1556</v>
      </c>
      <c r="K31" s="29">
        <v>5239</v>
      </c>
      <c r="L31" s="28">
        <v>194571</v>
      </c>
      <c r="M31" s="26" t="s">
        <v>55</v>
      </c>
      <c r="N31" s="30">
        <f t="shared" si="0"/>
        <v>0.13314933880177399</v>
      </c>
    </row>
    <row r="32">
      <c r="A32" s="25" t="s">
        <v>155</v>
      </c>
      <c r="B32" s="26" t="s">
        <v>46</v>
      </c>
      <c r="C32" s="27">
        <v>45331</v>
      </c>
      <c r="D32" s="26" t="s">
        <v>38</v>
      </c>
      <c r="E32" s="26" t="s">
        <v>555</v>
      </c>
      <c r="F32" s="26" t="s">
        <v>556</v>
      </c>
      <c r="G32" s="28">
        <v>12040</v>
      </c>
      <c r="H32" s="28">
        <v>1147</v>
      </c>
      <c r="I32" s="28">
        <v>210</v>
      </c>
      <c r="J32" s="28">
        <v>885</v>
      </c>
      <c r="K32" s="29">
        <v>30360</v>
      </c>
      <c r="L32" s="28">
        <v>119530</v>
      </c>
      <c r="M32" s="26" t="s">
        <v>32</v>
      </c>
      <c r="N32" s="30">
        <f t="shared" si="0"/>
        <v>0.112080649209403</v>
      </c>
    </row>
    <row r="33">
      <c r="A33" s="25" t="s">
        <v>153</v>
      </c>
      <c r="B33" s="26" t="s">
        <v>46</v>
      </c>
      <c r="C33" s="27">
        <v>45692</v>
      </c>
      <c r="D33" s="26" t="s">
        <v>25</v>
      </c>
      <c r="E33" s="26" t="s">
        <v>557</v>
      </c>
      <c r="F33" s="26" t="s">
        <v>555</v>
      </c>
      <c r="G33" s="28">
        <v>6858</v>
      </c>
      <c r="H33" s="28">
        <v>415</v>
      </c>
      <c r="I33" s="28">
        <v>366</v>
      </c>
      <c r="J33" s="28">
        <v>2761</v>
      </c>
      <c r="K33" s="29">
        <v>2988</v>
      </c>
      <c r="L33" s="28">
        <v>177348</v>
      </c>
      <c r="M33" s="26" t="s">
        <v>17</v>
      </c>
      <c r="N33" s="30">
        <f t="shared" si="0"/>
        <v>0.043073505198818099</v>
      </c>
    </row>
    <row r="34">
      <c r="A34" s="25" t="s">
        <v>36</v>
      </c>
      <c r="B34" s="26" t="s">
        <v>23</v>
      </c>
      <c r="C34" s="27">
        <v>45467</v>
      </c>
      <c r="D34" s="26" t="s">
        <v>38</v>
      </c>
      <c r="E34" s="26" t="s">
        <v>549</v>
      </c>
      <c r="F34" s="26" t="s">
        <v>550</v>
      </c>
      <c r="G34" s="28">
        <v>7713</v>
      </c>
      <c r="H34" s="28">
        <v>575</v>
      </c>
      <c r="I34" s="28">
        <v>417</v>
      </c>
      <c r="J34" s="28">
        <v>336</v>
      </c>
      <c r="K34" s="29">
        <v>61660</v>
      </c>
      <c r="L34" s="28">
        <v>66017</v>
      </c>
      <c r="M34" s="26" t="s">
        <v>32</v>
      </c>
      <c r="N34" s="30">
        <f t="shared" si="0"/>
        <v>0.131859975460866</v>
      </c>
    </row>
    <row r="35">
      <c r="A35" s="25" t="s">
        <v>151</v>
      </c>
      <c r="B35" s="26" t="s">
        <v>511</v>
      </c>
      <c r="C35" s="27">
        <v>45872</v>
      </c>
      <c r="D35" s="26" t="s">
        <v>25</v>
      </c>
      <c r="E35" s="26" t="s">
        <v>553</v>
      </c>
      <c r="F35" s="26" t="s">
        <v>554</v>
      </c>
      <c r="G35" s="28">
        <v>10580</v>
      </c>
      <c r="H35" s="28">
        <v>427</v>
      </c>
      <c r="I35" s="28">
        <v>790</v>
      </c>
      <c r="J35" s="28">
        <v>2814</v>
      </c>
      <c r="K35" s="29">
        <v>24916</v>
      </c>
      <c r="L35" s="28">
        <v>213312</v>
      </c>
      <c r="M35" s="26" t="s">
        <v>55</v>
      </c>
      <c r="N35" s="30">
        <f t="shared" si="0"/>
        <v>0.055303967896789701</v>
      </c>
    </row>
    <row r="36">
      <c r="A36" s="25" t="s">
        <v>149</v>
      </c>
      <c r="B36" s="26" t="s">
        <v>23</v>
      </c>
      <c r="C36" s="27">
        <v>45516</v>
      </c>
      <c r="D36" s="26" t="s">
        <v>30</v>
      </c>
      <c r="E36" s="26" t="s">
        <v>558</v>
      </c>
      <c r="F36" s="26" t="s">
        <v>559</v>
      </c>
      <c r="G36" s="28">
        <v>10427</v>
      </c>
      <c r="H36" s="28">
        <v>1014</v>
      </c>
      <c r="I36" s="28">
        <v>166</v>
      </c>
      <c r="J36" s="28">
        <v>1649</v>
      </c>
      <c r="K36" s="29">
        <v>15145</v>
      </c>
      <c r="L36" s="28">
        <v>59816</v>
      </c>
      <c r="M36" s="26" t="s">
        <v>27</v>
      </c>
      <c r="N36" s="30">
        <f t="shared" si="0"/>
        <v>0.19404507155276199</v>
      </c>
    </row>
    <row r="37">
      <c r="A37" s="25" t="s">
        <v>147</v>
      </c>
      <c r="B37" s="26" t="s">
        <v>511</v>
      </c>
      <c r="C37" s="27">
        <v>45745</v>
      </c>
      <c r="D37" s="26" t="s">
        <v>30</v>
      </c>
      <c r="E37" s="26" t="s">
        <v>553</v>
      </c>
      <c r="F37" s="26" t="s">
        <v>554</v>
      </c>
      <c r="G37" s="28">
        <v>19461</v>
      </c>
      <c r="H37" s="28">
        <v>1382</v>
      </c>
      <c r="I37" s="28">
        <v>445</v>
      </c>
      <c r="J37" s="28">
        <v>1307</v>
      </c>
      <c r="K37" s="29">
        <v>84691</v>
      </c>
      <c r="L37" s="28">
        <v>151453</v>
      </c>
      <c r="M37" s="26" t="s">
        <v>32</v>
      </c>
      <c r="N37" s="30">
        <f t="shared" si="0"/>
        <v>0.14055845707909401</v>
      </c>
    </row>
    <row r="38">
      <c r="A38" s="25" t="s">
        <v>145</v>
      </c>
      <c r="B38" s="26" t="s">
        <v>46</v>
      </c>
      <c r="C38" s="27">
        <v>45499</v>
      </c>
      <c r="D38" s="26" t="s">
        <v>25</v>
      </c>
      <c r="E38" s="26" t="s">
        <v>553</v>
      </c>
      <c r="F38" s="26" t="s">
        <v>554</v>
      </c>
      <c r="G38" s="28">
        <v>12176</v>
      </c>
      <c r="H38" s="28">
        <v>1005</v>
      </c>
      <c r="I38" s="28">
        <v>862</v>
      </c>
      <c r="J38" s="28">
        <v>974</v>
      </c>
      <c r="K38" s="29">
        <v>2285</v>
      </c>
      <c r="L38" s="28">
        <v>116619</v>
      </c>
      <c r="M38" s="26" t="s">
        <v>32</v>
      </c>
      <c r="N38" s="30">
        <f t="shared" si="0"/>
        <v>0.12041777068916699</v>
      </c>
    </row>
    <row r="39">
      <c r="A39" s="25" t="s">
        <v>143</v>
      </c>
      <c r="B39" s="26" t="s">
        <v>510</v>
      </c>
      <c r="C39" s="27">
        <v>45744</v>
      </c>
      <c r="D39" s="26" t="s">
        <v>25</v>
      </c>
      <c r="E39" s="26" t="s">
        <v>562</v>
      </c>
      <c r="F39" s="26" t="s">
        <v>563</v>
      </c>
      <c r="G39" s="28">
        <v>6363</v>
      </c>
      <c r="H39" s="28">
        <v>1341</v>
      </c>
      <c r="I39" s="28">
        <v>222</v>
      </c>
      <c r="J39" s="28">
        <v>2712</v>
      </c>
      <c r="K39" s="29">
        <v>19987</v>
      </c>
      <c r="L39" s="28">
        <v>160585</v>
      </c>
      <c r="M39" s="26" t="s">
        <v>27</v>
      </c>
      <c r="N39" s="30">
        <f t="shared" si="0"/>
        <v>0.049357038328610998</v>
      </c>
    </row>
    <row r="40">
      <c r="A40" s="25" t="s">
        <v>141</v>
      </c>
      <c r="B40" s="26" t="s">
        <v>23</v>
      </c>
      <c r="C40" s="27">
        <v>45521</v>
      </c>
      <c r="D40" s="26" t="s">
        <v>30</v>
      </c>
      <c r="E40" s="26" t="s">
        <v>35</v>
      </c>
      <c r="F40" s="26" t="s">
        <v>561</v>
      </c>
      <c r="G40" s="28">
        <v>19154</v>
      </c>
      <c r="H40" s="28">
        <v>1064</v>
      </c>
      <c r="I40" s="28">
        <v>650</v>
      </c>
      <c r="J40" s="28">
        <v>747</v>
      </c>
      <c r="K40" s="29">
        <v>42667</v>
      </c>
      <c r="L40" s="28">
        <v>242332</v>
      </c>
      <c r="M40" s="26" t="s">
        <v>27</v>
      </c>
      <c r="N40" s="30">
        <f t="shared" si="0"/>
        <v>0.086113266097750205</v>
      </c>
    </row>
    <row r="41">
      <c r="A41" s="25" t="s">
        <v>140</v>
      </c>
      <c r="B41" s="26" t="s">
        <v>23</v>
      </c>
      <c r="C41" s="27">
        <v>45504</v>
      </c>
      <c r="D41" s="26" t="s">
        <v>15</v>
      </c>
      <c r="E41" s="26" t="s">
        <v>562</v>
      </c>
      <c r="F41" s="26" t="s">
        <v>563</v>
      </c>
      <c r="G41" s="28">
        <v>12357</v>
      </c>
      <c r="H41" s="28">
        <v>716</v>
      </c>
      <c r="I41" s="28">
        <v>599</v>
      </c>
      <c r="J41" s="28">
        <v>999</v>
      </c>
      <c r="K41" s="29">
        <v>89591</v>
      </c>
      <c r="L41" s="28">
        <v>116367</v>
      </c>
      <c r="M41" s="26" t="s">
        <v>17</v>
      </c>
      <c r="N41" s="30">
        <f t="shared" si="0"/>
        <v>0.117490353794461</v>
      </c>
    </row>
    <row r="42">
      <c r="A42" s="25" t="s">
        <v>139</v>
      </c>
      <c r="B42" s="26" t="s">
        <v>510</v>
      </c>
      <c r="C42" s="27">
        <v>45920</v>
      </c>
      <c r="D42" s="26" t="s">
        <v>15</v>
      </c>
      <c r="E42" s="26" t="s">
        <v>555</v>
      </c>
      <c r="F42" s="26" t="s">
        <v>560</v>
      </c>
      <c r="G42" s="28">
        <v>18633</v>
      </c>
      <c r="H42" s="28">
        <v>797</v>
      </c>
      <c r="I42" s="28">
        <v>303</v>
      </c>
      <c r="J42" s="28">
        <v>659</v>
      </c>
      <c r="K42" s="29">
        <v>7</v>
      </c>
      <c r="L42" s="28">
        <v>122189</v>
      </c>
      <c r="M42" s="26" t="s">
        <v>21</v>
      </c>
      <c r="N42" s="30">
        <f t="shared" si="0"/>
        <v>0.161495715653619</v>
      </c>
    </row>
    <row r="43">
      <c r="A43" s="25" t="s">
        <v>137</v>
      </c>
      <c r="B43" s="26" t="s">
        <v>510</v>
      </c>
      <c r="C43" s="27">
        <v>45421</v>
      </c>
      <c r="D43" s="26" t="s">
        <v>38</v>
      </c>
      <c r="E43" s="26" t="s">
        <v>85</v>
      </c>
      <c r="F43" s="26" t="s">
        <v>561</v>
      </c>
      <c r="G43" s="28">
        <v>16489</v>
      </c>
      <c r="H43" s="28">
        <v>395</v>
      </c>
      <c r="I43" s="28">
        <v>350</v>
      </c>
      <c r="J43" s="28">
        <v>2364</v>
      </c>
      <c r="K43" s="29">
        <v>43239</v>
      </c>
      <c r="L43" s="28">
        <v>73397</v>
      </c>
      <c r="M43" s="26" t="s">
        <v>55</v>
      </c>
      <c r="N43" s="30">
        <f t="shared" si="0"/>
        <v>0.234805237271278</v>
      </c>
    </row>
    <row r="44">
      <c r="A44" s="25" t="s">
        <v>135</v>
      </c>
      <c r="B44" s="26" t="s">
        <v>23</v>
      </c>
      <c r="C44" s="27">
        <v>45685</v>
      </c>
      <c r="D44" s="26" t="s">
        <v>25</v>
      </c>
      <c r="E44" s="26" t="s">
        <v>553</v>
      </c>
      <c r="F44" s="26" t="s">
        <v>554</v>
      </c>
      <c r="G44" s="28">
        <v>9239</v>
      </c>
      <c r="H44" s="28">
        <v>1477</v>
      </c>
      <c r="I44" s="28">
        <v>631</v>
      </c>
      <c r="J44" s="28">
        <v>1556</v>
      </c>
      <c r="K44" s="29">
        <v>11580</v>
      </c>
      <c r="L44" s="28">
        <v>84738</v>
      </c>
      <c r="M44" s="26" t="s">
        <v>27</v>
      </c>
      <c r="N44" s="30">
        <f t="shared" si="0"/>
        <v>0.13390686586891401</v>
      </c>
    </row>
    <row r="45">
      <c r="A45" s="25" t="s">
        <v>34</v>
      </c>
      <c r="B45" s="26" t="s">
        <v>511</v>
      </c>
      <c r="C45" s="27">
        <v>45786</v>
      </c>
      <c r="D45" s="26" t="s">
        <v>15</v>
      </c>
      <c r="E45" s="26" t="s">
        <v>35</v>
      </c>
      <c r="F45" s="26" t="s">
        <v>561</v>
      </c>
      <c r="G45" s="28">
        <v>14677</v>
      </c>
      <c r="H45" s="28">
        <v>533</v>
      </c>
      <c r="I45" s="28">
        <v>759</v>
      </c>
      <c r="J45" s="28">
        <v>753</v>
      </c>
      <c r="K45" s="29">
        <v>23275</v>
      </c>
      <c r="L45" s="28">
        <v>66958</v>
      </c>
      <c r="M45" s="26" t="s">
        <v>21</v>
      </c>
      <c r="N45" s="30">
        <f t="shared" si="0"/>
        <v>0.23849278652289499</v>
      </c>
    </row>
    <row r="46">
      <c r="A46" s="25" t="s">
        <v>133</v>
      </c>
      <c r="B46" s="26" t="s">
        <v>510</v>
      </c>
      <c r="C46" s="27">
        <v>45465</v>
      </c>
      <c r="D46" s="26" t="s">
        <v>15</v>
      </c>
      <c r="E46" s="26" t="s">
        <v>553</v>
      </c>
      <c r="F46" s="26" t="s">
        <v>554</v>
      </c>
      <c r="G46" s="28">
        <v>16430</v>
      </c>
      <c r="H46" s="28">
        <v>488</v>
      </c>
      <c r="I46" s="28">
        <v>514</v>
      </c>
      <c r="J46" s="28">
        <v>1436</v>
      </c>
      <c r="K46" s="29">
        <v>30059</v>
      </c>
      <c r="L46" s="28">
        <v>223305</v>
      </c>
      <c r="M46" s="26" t="s">
        <v>32</v>
      </c>
      <c r="N46" s="30">
        <f t="shared" si="0"/>
        <v>0.078063634938760895</v>
      </c>
    </row>
    <row r="47">
      <c r="A47" s="25" t="s">
        <v>131</v>
      </c>
      <c r="B47" s="26" t="s">
        <v>23</v>
      </c>
      <c r="C47" s="27">
        <v>45762</v>
      </c>
      <c r="D47" s="26" t="s">
        <v>38</v>
      </c>
      <c r="E47" s="26" t="s">
        <v>564</v>
      </c>
      <c r="F47" s="26" t="s">
        <v>565</v>
      </c>
      <c r="G47" s="28">
        <v>5419</v>
      </c>
      <c r="H47" s="28">
        <v>1150</v>
      </c>
      <c r="I47" s="28">
        <v>656</v>
      </c>
      <c r="J47" s="28">
        <v>1990</v>
      </c>
      <c r="K47" s="29">
        <v>410</v>
      </c>
      <c r="L47" s="28">
        <v>158154</v>
      </c>
      <c r="M47" s="26" t="s">
        <v>27</v>
      </c>
      <c r="N47" s="30">
        <f t="shared" si="0"/>
        <v>0.0456833213197263</v>
      </c>
    </row>
    <row r="48">
      <c r="A48" s="25" t="s">
        <v>129</v>
      </c>
      <c r="B48" s="26" t="s">
        <v>511</v>
      </c>
      <c r="C48" s="27">
        <v>45586</v>
      </c>
      <c r="D48" s="26" t="s">
        <v>30</v>
      </c>
      <c r="E48" s="26" t="s">
        <v>555</v>
      </c>
      <c r="F48" s="26" t="s">
        <v>560</v>
      </c>
      <c r="G48" s="28">
        <v>12015</v>
      </c>
      <c r="H48" s="28">
        <v>1196</v>
      </c>
      <c r="I48" s="28">
        <v>998</v>
      </c>
      <c r="J48" s="28">
        <v>1848</v>
      </c>
      <c r="K48" s="29">
        <v>44739</v>
      </c>
      <c r="L48" s="28">
        <v>161750</v>
      </c>
      <c r="M48" s="26" t="s">
        <v>55</v>
      </c>
      <c r="N48" s="30">
        <f t="shared" si="0"/>
        <v>0.087845440494590393</v>
      </c>
    </row>
    <row r="49">
      <c r="A49" s="25" t="s">
        <v>127</v>
      </c>
      <c r="B49" s="26" t="s">
        <v>511</v>
      </c>
      <c r="C49" s="27">
        <v>45644</v>
      </c>
      <c r="D49" s="26" t="s">
        <v>25</v>
      </c>
      <c r="E49" s="26" t="s">
        <v>557</v>
      </c>
      <c r="F49" s="26" t="s">
        <v>555</v>
      </c>
      <c r="G49" s="28">
        <v>14775</v>
      </c>
      <c r="H49" s="28">
        <v>1220</v>
      </c>
      <c r="I49" s="28">
        <v>640</v>
      </c>
      <c r="J49" s="28">
        <v>1547</v>
      </c>
      <c r="K49" s="29">
        <v>28527</v>
      </c>
      <c r="L49" s="28">
        <v>183660</v>
      </c>
      <c r="M49" s="26" t="s">
        <v>55</v>
      </c>
      <c r="N49" s="30">
        <f t="shared" si="0"/>
        <v>0.090574975498203203</v>
      </c>
    </row>
    <row r="50">
      <c r="A50" s="25" t="s">
        <v>125</v>
      </c>
      <c r="B50" s="26" t="s">
        <v>510</v>
      </c>
      <c r="C50" s="27">
        <v>45460</v>
      </c>
      <c r="D50" s="26" t="s">
        <v>38</v>
      </c>
      <c r="E50" s="26" t="s">
        <v>562</v>
      </c>
      <c r="F50" s="26" t="s">
        <v>563</v>
      </c>
      <c r="G50" s="28">
        <v>6976</v>
      </c>
      <c r="H50" s="28">
        <v>1320</v>
      </c>
      <c r="I50" s="28">
        <v>393</v>
      </c>
      <c r="J50" s="28">
        <v>2285</v>
      </c>
      <c r="K50" s="29">
        <v>14049</v>
      </c>
      <c r="L50" s="28">
        <v>101367</v>
      </c>
      <c r="M50" s="26" t="s">
        <v>55</v>
      </c>
      <c r="N50" s="30">
        <f t="shared" si="0"/>
        <v>0.0857182317716811</v>
      </c>
    </row>
    <row r="51">
      <c r="A51" s="25" t="s">
        <v>123</v>
      </c>
      <c r="B51" s="26" t="s">
        <v>511</v>
      </c>
      <c r="C51" s="27">
        <v>45729</v>
      </c>
      <c r="D51" s="26" t="s">
        <v>38</v>
      </c>
      <c r="E51" s="26" t="s">
        <v>564</v>
      </c>
      <c r="F51" s="26" t="s">
        <v>565</v>
      </c>
      <c r="G51" s="28">
        <v>6544</v>
      </c>
      <c r="H51" s="28">
        <v>749</v>
      </c>
      <c r="I51" s="28">
        <v>888</v>
      </c>
      <c r="J51" s="28">
        <v>594</v>
      </c>
      <c r="K51" s="29">
        <v>18171</v>
      </c>
      <c r="L51" s="28">
        <v>126475</v>
      </c>
      <c r="M51" s="26" t="s">
        <v>27</v>
      </c>
      <c r="N51" s="30">
        <f t="shared" si="0"/>
        <v>0.064684720300454607</v>
      </c>
    </row>
    <row r="52">
      <c r="A52" s="25" t="s">
        <v>122</v>
      </c>
      <c r="B52" s="26" t="s">
        <v>510</v>
      </c>
      <c r="C52" s="27">
        <v>45712</v>
      </c>
      <c r="D52" s="26" t="s">
        <v>15</v>
      </c>
      <c r="E52" s="26" t="s">
        <v>555</v>
      </c>
      <c r="F52" s="26" t="s">
        <v>560</v>
      </c>
      <c r="G52" s="28">
        <v>23949</v>
      </c>
      <c r="H52" s="28">
        <v>356</v>
      </c>
      <c r="I52" s="28">
        <v>616</v>
      </c>
      <c r="J52" s="28">
        <v>1847</v>
      </c>
      <c r="K52" s="29">
        <v>3144</v>
      </c>
      <c r="L52" s="28">
        <v>192999</v>
      </c>
      <c r="M52" s="26" t="s">
        <v>32</v>
      </c>
      <c r="N52" s="30">
        <f t="shared" si="0"/>
        <v>0.129125021373168</v>
      </c>
    </row>
    <row r="53">
      <c r="A53" s="25" t="s">
        <v>121</v>
      </c>
      <c r="B53" s="26" t="s">
        <v>46</v>
      </c>
      <c r="C53" s="27">
        <v>45919</v>
      </c>
      <c r="D53" s="26" t="s">
        <v>15</v>
      </c>
      <c r="E53" s="26" t="s">
        <v>553</v>
      </c>
      <c r="F53" s="26" t="s">
        <v>554</v>
      </c>
      <c r="G53" s="28">
        <v>19100</v>
      </c>
      <c r="H53" s="28">
        <v>619</v>
      </c>
      <c r="I53" s="28">
        <v>297</v>
      </c>
      <c r="J53" s="28">
        <v>2312</v>
      </c>
      <c r="K53" s="29">
        <v>9730</v>
      </c>
      <c r="L53" s="28">
        <v>184832</v>
      </c>
      <c r="M53" s="26" t="s">
        <v>21</v>
      </c>
      <c r="N53" s="30">
        <f t="shared" si="0"/>
        <v>0.108292936288089</v>
      </c>
    </row>
    <row r="54">
      <c r="A54" s="25" t="s">
        <v>119</v>
      </c>
      <c r="B54" s="26" t="s">
        <v>510</v>
      </c>
      <c r="C54" s="27">
        <v>45456</v>
      </c>
      <c r="D54" s="26" t="s">
        <v>38</v>
      </c>
      <c r="E54" s="26" t="s">
        <v>553</v>
      </c>
      <c r="F54" s="26" t="s">
        <v>554</v>
      </c>
      <c r="G54" s="28">
        <v>23164</v>
      </c>
      <c r="H54" s="28">
        <v>1122</v>
      </c>
      <c r="I54" s="28">
        <v>900</v>
      </c>
      <c r="J54" s="28">
        <v>888</v>
      </c>
      <c r="K54" s="29">
        <v>36938</v>
      </c>
      <c r="L54" s="28">
        <v>104674</v>
      </c>
      <c r="M54" s="26" t="s">
        <v>17</v>
      </c>
      <c r="N54" s="30">
        <f t="shared" si="0"/>
        <v>0.240613714962646</v>
      </c>
    </row>
    <row r="55">
      <c r="A55" s="25" t="s">
        <v>117</v>
      </c>
      <c r="B55" s="26" t="s">
        <v>46</v>
      </c>
      <c r="C55" s="27">
        <v>45358</v>
      </c>
      <c r="D55" s="26" t="s">
        <v>25</v>
      </c>
      <c r="E55" s="26" t="s">
        <v>549</v>
      </c>
      <c r="F55" s="26" t="s">
        <v>550</v>
      </c>
      <c r="G55" s="28">
        <v>14338</v>
      </c>
      <c r="H55" s="28">
        <v>1454</v>
      </c>
      <c r="I55" s="28">
        <v>697</v>
      </c>
      <c r="J55" s="28">
        <v>2703</v>
      </c>
      <c r="K55" s="29">
        <v>21288</v>
      </c>
      <c r="L55" s="28">
        <v>107649</v>
      </c>
      <c r="M55" s="26" t="s">
        <v>32</v>
      </c>
      <c r="N55" s="30">
        <f t="shared" si="0"/>
        <v>0.15317374058281999</v>
      </c>
    </row>
    <row r="56">
      <c r="A56" s="25" t="s">
        <v>33</v>
      </c>
      <c r="B56" s="26" t="s">
        <v>510</v>
      </c>
      <c r="C56" s="27">
        <v>45756</v>
      </c>
      <c r="D56" s="26" t="s">
        <v>30</v>
      </c>
      <c r="E56" s="26" t="s">
        <v>562</v>
      </c>
      <c r="F56" s="26" t="s">
        <v>563</v>
      </c>
      <c r="G56" s="28">
        <v>21708</v>
      </c>
      <c r="H56" s="28">
        <v>435</v>
      </c>
      <c r="I56" s="28">
        <v>317</v>
      </c>
      <c r="J56" s="28">
        <v>1213</v>
      </c>
      <c r="K56" s="29">
        <v>70701</v>
      </c>
      <c r="L56" s="28">
        <v>83585</v>
      </c>
      <c r="M56" s="26" t="s">
        <v>21</v>
      </c>
      <c r="N56" s="30">
        <f t="shared" si="0"/>
        <v>0.26870850032900601</v>
      </c>
    </row>
    <row r="57">
      <c r="A57" s="25" t="s">
        <v>116</v>
      </c>
      <c r="B57" s="26" t="s">
        <v>46</v>
      </c>
      <c r="C57" s="27">
        <v>45918</v>
      </c>
      <c r="D57" s="26" t="s">
        <v>38</v>
      </c>
      <c r="E57" s="26" t="s">
        <v>555</v>
      </c>
      <c r="F57" s="26" t="s">
        <v>560</v>
      </c>
      <c r="G57" s="28">
        <v>4048</v>
      </c>
      <c r="H57" s="28">
        <v>677</v>
      </c>
      <c r="I57" s="28">
        <v>911</v>
      </c>
      <c r="J57" s="28">
        <v>2429</v>
      </c>
      <c r="K57" s="29">
        <v>27361</v>
      </c>
      <c r="L57" s="28">
        <v>101272</v>
      </c>
      <c r="M57" s="26" t="s">
        <v>21</v>
      </c>
      <c r="N57" s="30">
        <f t="shared" si="0"/>
        <v>0.055652105221581503</v>
      </c>
    </row>
    <row r="58">
      <c r="A58" s="25" t="s">
        <v>115</v>
      </c>
      <c r="B58" s="26" t="s">
        <v>510</v>
      </c>
      <c r="C58" s="27">
        <v>45964</v>
      </c>
      <c r="D58" s="26" t="s">
        <v>38</v>
      </c>
      <c r="E58" s="26" t="s">
        <v>562</v>
      </c>
      <c r="F58" s="26" t="s">
        <v>563</v>
      </c>
      <c r="G58" s="28">
        <v>7997</v>
      </c>
      <c r="H58" s="28">
        <v>1238</v>
      </c>
      <c r="I58" s="28">
        <v>438</v>
      </c>
      <c r="J58" s="28">
        <v>1874</v>
      </c>
      <c r="K58" s="29">
        <v>36272</v>
      </c>
      <c r="L58" s="28">
        <v>165818</v>
      </c>
      <c r="M58" s="26" t="s">
        <v>55</v>
      </c>
      <c r="N58" s="30">
        <f t="shared" si="0"/>
        <v>0.058335042034037297</v>
      </c>
    </row>
    <row r="59">
      <c r="A59" s="25" t="s">
        <v>113</v>
      </c>
      <c r="B59" s="26" t="s">
        <v>511</v>
      </c>
      <c r="C59" s="27">
        <v>45712</v>
      </c>
      <c r="D59" s="26" t="s">
        <v>25</v>
      </c>
      <c r="E59" s="26" t="s">
        <v>557</v>
      </c>
      <c r="F59" s="26" t="s">
        <v>555</v>
      </c>
      <c r="G59" s="28">
        <v>24984</v>
      </c>
      <c r="H59" s="28">
        <v>753</v>
      </c>
      <c r="I59" s="28">
        <v>461</v>
      </c>
      <c r="J59" s="28">
        <v>2710</v>
      </c>
      <c r="K59" s="29">
        <v>20792</v>
      </c>
      <c r="L59" s="28">
        <v>141520</v>
      </c>
      <c r="M59" s="26" t="s">
        <v>27</v>
      </c>
      <c r="N59" s="30">
        <f t="shared" si="0"/>
        <v>0.18511871113623499</v>
      </c>
    </row>
    <row r="60">
      <c r="A60" s="25" t="s">
        <v>111</v>
      </c>
      <c r="B60" s="26" t="s">
        <v>511</v>
      </c>
      <c r="C60" s="27">
        <v>45693</v>
      </c>
      <c r="D60" s="26" t="s">
        <v>25</v>
      </c>
      <c r="E60" s="26" t="s">
        <v>555</v>
      </c>
      <c r="F60" s="26" t="s">
        <v>560</v>
      </c>
      <c r="G60" s="28">
        <v>17444</v>
      </c>
      <c r="H60" s="28">
        <v>1402</v>
      </c>
      <c r="I60" s="28">
        <v>218</v>
      </c>
      <c r="J60" s="28">
        <v>725</v>
      </c>
      <c r="K60" s="29">
        <v>8710</v>
      </c>
      <c r="L60" s="28">
        <v>85893</v>
      </c>
      <c r="M60" s="26" t="s">
        <v>55</v>
      </c>
      <c r="N60" s="30">
        <f t="shared" si="0"/>
        <v>0.221950566402384</v>
      </c>
    </row>
    <row r="61">
      <c r="A61" s="25" t="s">
        <v>110</v>
      </c>
      <c r="B61" s="26" t="s">
        <v>511</v>
      </c>
      <c r="C61" s="27">
        <v>45917</v>
      </c>
      <c r="D61" s="26" t="s">
        <v>25</v>
      </c>
      <c r="E61" s="26" t="s">
        <v>549</v>
      </c>
      <c r="F61" s="26" t="s">
        <v>550</v>
      </c>
      <c r="G61" s="28">
        <v>15456</v>
      </c>
      <c r="H61" s="28">
        <v>590</v>
      </c>
      <c r="I61" s="28">
        <v>555</v>
      </c>
      <c r="J61" s="28">
        <v>2882</v>
      </c>
      <c r="K61" s="29">
        <v>49816</v>
      </c>
      <c r="L61" s="28">
        <v>240422</v>
      </c>
      <c r="M61" s="26" t="s">
        <v>21</v>
      </c>
      <c r="N61" s="30">
        <f t="shared" si="0"/>
        <v>0.069049421433978603</v>
      </c>
    </row>
    <row r="62">
      <c r="A62" s="25" t="s">
        <v>108</v>
      </c>
      <c r="B62" s="26" t="s">
        <v>511</v>
      </c>
      <c r="C62" s="27">
        <v>45691</v>
      </c>
      <c r="D62" s="26" t="s">
        <v>30</v>
      </c>
      <c r="E62" s="26" t="s">
        <v>566</v>
      </c>
      <c r="F62" s="26" t="s">
        <v>35</v>
      </c>
      <c r="G62" s="28">
        <v>22562</v>
      </c>
      <c r="H62" s="28">
        <v>778</v>
      </c>
      <c r="I62" s="28">
        <v>907</v>
      </c>
      <c r="J62" s="28">
        <v>1354</v>
      </c>
      <c r="K62" s="29">
        <v>34475</v>
      </c>
      <c r="L62" s="28">
        <v>141459</v>
      </c>
      <c r="M62" s="26" t="s">
        <v>32</v>
      </c>
      <c r="N62" s="30">
        <f t="shared" si="0"/>
        <v>0.171406555963212</v>
      </c>
    </row>
    <row r="63">
      <c r="A63" s="25" t="s">
        <v>107</v>
      </c>
      <c r="B63" s="26" t="s">
        <v>46</v>
      </c>
      <c r="C63" s="27">
        <v>45916</v>
      </c>
      <c r="D63" s="26" t="s">
        <v>25</v>
      </c>
      <c r="E63" s="26" t="s">
        <v>85</v>
      </c>
      <c r="F63" s="26" t="s">
        <v>561</v>
      </c>
      <c r="G63" s="28">
        <v>6809</v>
      </c>
      <c r="H63" s="28">
        <v>397</v>
      </c>
      <c r="I63" s="28">
        <v>813</v>
      </c>
      <c r="J63" s="28">
        <v>1125</v>
      </c>
      <c r="K63" s="29">
        <v>12206</v>
      </c>
      <c r="L63" s="28">
        <v>218136</v>
      </c>
      <c r="M63" s="26" t="s">
        <v>21</v>
      </c>
      <c r="N63" s="30">
        <f t="shared" si="0"/>
        <v>0.036761469908680802</v>
      </c>
    </row>
    <row r="64">
      <c r="A64" s="25" t="s">
        <v>105</v>
      </c>
      <c r="B64" s="26" t="s">
        <v>510</v>
      </c>
      <c r="C64" s="27">
        <v>45780</v>
      </c>
      <c r="D64" s="26" t="s">
        <v>38</v>
      </c>
      <c r="E64" s="26" t="s">
        <v>555</v>
      </c>
      <c r="F64" s="26" t="s">
        <v>560</v>
      </c>
      <c r="G64" s="28">
        <v>12916</v>
      </c>
      <c r="H64" s="28">
        <v>1262</v>
      </c>
      <c r="I64" s="28">
        <v>772</v>
      </c>
      <c r="J64" s="28">
        <v>856</v>
      </c>
      <c r="K64" s="29">
        <v>11496</v>
      </c>
      <c r="L64" s="28">
        <v>75046</v>
      </c>
      <c r="M64" s="26" t="s">
        <v>27</v>
      </c>
      <c r="N64" s="30">
        <f t="shared" si="0"/>
        <v>0.199211150494363</v>
      </c>
    </row>
    <row r="65">
      <c r="A65" s="25" t="s">
        <v>104</v>
      </c>
      <c r="B65" s="26" t="s">
        <v>510</v>
      </c>
      <c r="C65" s="27">
        <v>45915</v>
      </c>
      <c r="D65" s="26" t="s">
        <v>25</v>
      </c>
      <c r="E65" s="26" t="s">
        <v>558</v>
      </c>
      <c r="F65" s="26" t="s">
        <v>559</v>
      </c>
      <c r="G65" s="28">
        <v>5636</v>
      </c>
      <c r="H65" s="28">
        <v>303</v>
      </c>
      <c r="I65" s="28">
        <v>204</v>
      </c>
      <c r="J65" s="28">
        <v>2480</v>
      </c>
      <c r="K65" s="29">
        <v>7377</v>
      </c>
      <c r="L65" s="28">
        <v>241207</v>
      </c>
      <c r="M65" s="26" t="s">
        <v>21</v>
      </c>
      <c r="N65" s="30">
        <f t="shared" si="0"/>
        <v>0.025467751765081401</v>
      </c>
    </row>
    <row r="66">
      <c r="A66" s="25" t="s">
        <v>103</v>
      </c>
      <c r="B66" s="26" t="s">
        <v>510</v>
      </c>
      <c r="C66" s="27">
        <v>45914</v>
      </c>
      <c r="D66" s="26" t="s">
        <v>38</v>
      </c>
      <c r="E66" s="26" t="s">
        <v>553</v>
      </c>
      <c r="F66" s="26" t="s">
        <v>554</v>
      </c>
      <c r="G66" s="28">
        <v>19844</v>
      </c>
      <c r="H66" s="28">
        <v>1020</v>
      </c>
      <c r="I66" s="28">
        <v>247</v>
      </c>
      <c r="J66" s="28">
        <v>2354</v>
      </c>
      <c r="K66" s="29">
        <v>37792</v>
      </c>
      <c r="L66" s="28">
        <v>138317</v>
      </c>
      <c r="M66" s="26" t="s">
        <v>21</v>
      </c>
      <c r="N66" s="30">
        <f t="shared" ref="N66:N129" si="1">(G66+H66+I66)/L66</f>
        <v>0.152627659651381</v>
      </c>
    </row>
    <row r="67">
      <c r="A67" s="25" t="s">
        <v>28</v>
      </c>
      <c r="B67" s="26" t="s">
        <v>510</v>
      </c>
      <c r="C67" s="27">
        <v>45634</v>
      </c>
      <c r="D67" s="26" t="s">
        <v>30</v>
      </c>
      <c r="E67" s="26" t="s">
        <v>555</v>
      </c>
      <c r="F67" s="26" t="s">
        <v>556</v>
      </c>
      <c r="G67" s="28">
        <v>3581</v>
      </c>
      <c r="H67" s="28">
        <v>517</v>
      </c>
      <c r="I67" s="28">
        <v>880</v>
      </c>
      <c r="J67" s="28">
        <v>1925</v>
      </c>
      <c r="K67" s="29">
        <v>18636</v>
      </c>
      <c r="L67" s="28">
        <v>248611</v>
      </c>
      <c r="M67" s="26" t="s">
        <v>32</v>
      </c>
      <c r="N67" s="30">
        <f t="shared" si="1"/>
        <v>0.020023249172401902</v>
      </c>
    </row>
    <row r="68">
      <c r="A68" s="25" t="s">
        <v>102</v>
      </c>
      <c r="B68" s="26" t="s">
        <v>23</v>
      </c>
      <c r="C68" s="27">
        <v>45913</v>
      </c>
      <c r="D68" s="26" t="s">
        <v>38</v>
      </c>
      <c r="E68" s="26" t="s">
        <v>549</v>
      </c>
      <c r="F68" s="26" t="s">
        <v>550</v>
      </c>
      <c r="G68" s="28">
        <v>17106</v>
      </c>
      <c r="H68" s="28">
        <v>702</v>
      </c>
      <c r="I68" s="28">
        <v>459</v>
      </c>
      <c r="J68" s="28">
        <v>999</v>
      </c>
      <c r="K68" s="29">
        <v>59627</v>
      </c>
      <c r="L68" s="28">
        <v>136059</v>
      </c>
      <c r="M68" s="26" t="s">
        <v>21</v>
      </c>
      <c r="N68" s="30">
        <f t="shared" si="1"/>
        <v>0.13425793222058099</v>
      </c>
    </row>
    <row r="69">
      <c r="A69" s="25" t="s">
        <v>100</v>
      </c>
      <c r="B69" s="26" t="s">
        <v>23</v>
      </c>
      <c r="C69" s="27">
        <v>45705</v>
      </c>
      <c r="D69" s="26" t="s">
        <v>25</v>
      </c>
      <c r="E69" s="26" t="s">
        <v>558</v>
      </c>
      <c r="F69" s="26" t="s">
        <v>559</v>
      </c>
      <c r="G69" s="28">
        <v>7989</v>
      </c>
      <c r="H69" s="28">
        <v>1206</v>
      </c>
      <c r="I69" s="28">
        <v>376</v>
      </c>
      <c r="J69" s="28">
        <v>2769</v>
      </c>
      <c r="K69" s="29">
        <v>27550</v>
      </c>
      <c r="L69" s="28">
        <v>221749</v>
      </c>
      <c r="M69" s="26" t="s">
        <v>27</v>
      </c>
      <c r="N69" s="30">
        <f t="shared" si="1"/>
        <v>0.043161412227338103</v>
      </c>
    </row>
    <row r="70">
      <c r="A70" s="25" t="s">
        <v>98</v>
      </c>
      <c r="B70" s="26" t="s">
        <v>511</v>
      </c>
      <c r="C70" s="27">
        <v>45809</v>
      </c>
      <c r="D70" s="26" t="s">
        <v>15</v>
      </c>
      <c r="E70" s="26" t="s">
        <v>564</v>
      </c>
      <c r="F70" s="26" t="s">
        <v>565</v>
      </c>
      <c r="G70" s="28">
        <v>11860</v>
      </c>
      <c r="H70" s="28">
        <v>1448</v>
      </c>
      <c r="I70" s="28">
        <v>893</v>
      </c>
      <c r="J70" s="28">
        <v>490</v>
      </c>
      <c r="K70" s="29">
        <v>23518</v>
      </c>
      <c r="L70" s="28">
        <v>206205</v>
      </c>
      <c r="M70" s="26" t="s">
        <v>17</v>
      </c>
      <c r="N70" s="30">
        <f t="shared" si="1"/>
        <v>0.068868359157149395</v>
      </c>
    </row>
    <row r="71">
      <c r="A71" s="25" t="s">
        <v>96</v>
      </c>
      <c r="B71" s="26" t="s">
        <v>23</v>
      </c>
      <c r="C71" s="27">
        <v>45766</v>
      </c>
      <c r="D71" s="26" t="s">
        <v>38</v>
      </c>
      <c r="E71" s="26" t="s">
        <v>85</v>
      </c>
      <c r="F71" s="26" t="s">
        <v>561</v>
      </c>
      <c r="G71" s="28">
        <v>20384</v>
      </c>
      <c r="H71" s="28">
        <v>344</v>
      </c>
      <c r="I71" s="28">
        <v>956</v>
      </c>
      <c r="J71" s="28">
        <v>655</v>
      </c>
      <c r="K71" s="29">
        <v>67621</v>
      </c>
      <c r="L71" s="28">
        <v>175720</v>
      </c>
      <c r="M71" s="26" t="s">
        <v>27</v>
      </c>
      <c r="N71" s="30">
        <f t="shared" si="1"/>
        <v>0.12340086501252</v>
      </c>
    </row>
    <row r="72">
      <c r="A72" s="25" t="s">
        <v>94</v>
      </c>
      <c r="B72" s="26" t="s">
        <v>46</v>
      </c>
      <c r="C72" s="27">
        <v>45626</v>
      </c>
      <c r="D72" s="26" t="s">
        <v>30</v>
      </c>
      <c r="E72" s="26" t="s">
        <v>555</v>
      </c>
      <c r="F72" s="26" t="s">
        <v>560</v>
      </c>
      <c r="G72" s="28">
        <v>14763</v>
      </c>
      <c r="H72" s="28">
        <v>864</v>
      </c>
      <c r="I72" s="28">
        <v>336</v>
      </c>
      <c r="J72" s="28">
        <v>1493</v>
      </c>
      <c r="K72" s="29">
        <v>33310</v>
      </c>
      <c r="L72" s="28">
        <v>165932</v>
      </c>
      <c r="M72" s="26" t="s">
        <v>32</v>
      </c>
      <c r="N72" s="30">
        <f t="shared" si="1"/>
        <v>0.096202058674637797</v>
      </c>
    </row>
    <row r="73">
      <c r="A73" s="25" t="s">
        <v>93</v>
      </c>
      <c r="B73" s="26" t="s">
        <v>46</v>
      </c>
      <c r="C73" s="27">
        <v>46000</v>
      </c>
      <c r="D73" s="26" t="s">
        <v>25</v>
      </c>
      <c r="E73" s="26" t="s">
        <v>564</v>
      </c>
      <c r="F73" s="26" t="s">
        <v>565</v>
      </c>
      <c r="G73" s="28">
        <v>17158</v>
      </c>
      <c r="H73" s="28">
        <v>1192</v>
      </c>
      <c r="I73" s="28">
        <v>262</v>
      </c>
      <c r="J73" s="28">
        <v>2016</v>
      </c>
      <c r="K73" s="29">
        <v>28771</v>
      </c>
      <c r="L73" s="28">
        <v>216037</v>
      </c>
      <c r="M73" s="26" t="s">
        <v>21</v>
      </c>
      <c r="N73" s="30">
        <f t="shared" si="1"/>
        <v>0.086151909163708101</v>
      </c>
    </row>
    <row r="74">
      <c r="A74" s="25" t="s">
        <v>92</v>
      </c>
      <c r="B74" s="26" t="s">
        <v>511</v>
      </c>
      <c r="C74" s="27">
        <v>45970</v>
      </c>
      <c r="D74" s="26" t="s">
        <v>38</v>
      </c>
      <c r="E74" s="26" t="s">
        <v>557</v>
      </c>
      <c r="F74" s="26" t="s">
        <v>555</v>
      </c>
      <c r="G74" s="28">
        <v>10175</v>
      </c>
      <c r="H74" s="28">
        <v>342</v>
      </c>
      <c r="I74" s="28">
        <v>825</v>
      </c>
      <c r="J74" s="28">
        <v>2904</v>
      </c>
      <c r="K74" s="29">
        <v>15954</v>
      </c>
      <c r="L74" s="28">
        <v>104324</v>
      </c>
      <c r="M74" s="26" t="s">
        <v>21</v>
      </c>
      <c r="N74" s="30">
        <f t="shared" si="1"/>
        <v>0.10871899083624099</v>
      </c>
    </row>
    <row r="75">
      <c r="A75" s="25" t="s">
        <v>90</v>
      </c>
      <c r="B75" s="26" t="s">
        <v>23</v>
      </c>
      <c r="C75" s="27">
        <v>45504</v>
      </c>
      <c r="D75" s="26" t="s">
        <v>15</v>
      </c>
      <c r="E75" s="26" t="s">
        <v>555</v>
      </c>
      <c r="F75" s="26" t="s">
        <v>560</v>
      </c>
      <c r="G75" s="28">
        <v>2404</v>
      </c>
      <c r="H75" s="28">
        <v>774</v>
      </c>
      <c r="I75" s="28">
        <v>661</v>
      </c>
      <c r="J75" s="28">
        <v>662</v>
      </c>
      <c r="K75" s="29">
        <v>12676</v>
      </c>
      <c r="L75" s="28">
        <v>66916</v>
      </c>
      <c r="M75" s="26" t="s">
        <v>17</v>
      </c>
      <c r="N75" s="30">
        <f t="shared" si="1"/>
        <v>0.057370434574690703</v>
      </c>
    </row>
    <row r="76">
      <c r="A76" s="25" t="s">
        <v>88</v>
      </c>
      <c r="B76" s="26" t="s">
        <v>23</v>
      </c>
      <c r="C76" s="27">
        <v>45642</v>
      </c>
      <c r="D76" s="26" t="s">
        <v>15</v>
      </c>
      <c r="E76" s="26" t="s">
        <v>555</v>
      </c>
      <c r="F76" s="26" t="s">
        <v>556</v>
      </c>
      <c r="G76" s="28">
        <v>2384</v>
      </c>
      <c r="H76" s="28">
        <v>1246</v>
      </c>
      <c r="I76" s="28">
        <v>160</v>
      </c>
      <c r="J76" s="28">
        <v>2004</v>
      </c>
      <c r="K76" s="29">
        <v>2701</v>
      </c>
      <c r="L76" s="28">
        <v>73142</v>
      </c>
      <c r="M76" s="26" t="s">
        <v>17</v>
      </c>
      <c r="N76" s="30">
        <f t="shared" si="1"/>
        <v>0.0518170134806267</v>
      </c>
    </row>
    <row r="77">
      <c r="A77" s="25" t="s">
        <v>503</v>
      </c>
      <c r="B77" s="26" t="s">
        <v>511</v>
      </c>
      <c r="C77" s="27">
        <v>45926</v>
      </c>
      <c r="D77" s="26" t="s">
        <v>30</v>
      </c>
      <c r="E77" s="26" t="s">
        <v>557</v>
      </c>
      <c r="F77" s="26" t="s">
        <v>555</v>
      </c>
      <c r="G77" s="28">
        <v>21216</v>
      </c>
      <c r="H77" s="28">
        <v>226</v>
      </c>
      <c r="I77" s="28">
        <v>187</v>
      </c>
      <c r="J77" s="28">
        <v>1573</v>
      </c>
      <c r="K77" s="29">
        <v>62688</v>
      </c>
      <c r="L77" s="28">
        <v>111031</v>
      </c>
      <c r="M77" s="26" t="s">
        <v>21</v>
      </c>
      <c r="N77" s="30">
        <f t="shared" si="1"/>
        <v>0.19480145184678199</v>
      </c>
    </row>
    <row r="78">
      <c r="A78" s="25" t="s">
        <v>86</v>
      </c>
      <c r="B78" s="26" t="s">
        <v>511</v>
      </c>
      <c r="C78" s="27">
        <v>45713</v>
      </c>
      <c r="D78" s="26" t="s">
        <v>38</v>
      </c>
      <c r="E78" s="26" t="s">
        <v>566</v>
      </c>
      <c r="F78" s="26" t="s">
        <v>35</v>
      </c>
      <c r="G78" s="28">
        <v>10702</v>
      </c>
      <c r="H78" s="28">
        <v>621</v>
      </c>
      <c r="I78" s="28">
        <v>445</v>
      </c>
      <c r="J78" s="28">
        <v>2918</v>
      </c>
      <c r="K78" s="29">
        <v>54808</v>
      </c>
      <c r="L78" s="28">
        <v>220225</v>
      </c>
      <c r="M78" s="26" t="s">
        <v>17</v>
      </c>
      <c r="N78" s="30">
        <f t="shared" si="1"/>
        <v>0.053436258372119398</v>
      </c>
    </row>
    <row r="79">
      <c r="A79" s="25" t="s">
        <v>22</v>
      </c>
      <c r="B79" s="26" t="s">
        <v>23</v>
      </c>
      <c r="C79" s="27">
        <v>45996</v>
      </c>
      <c r="D79" s="26" t="s">
        <v>25</v>
      </c>
      <c r="E79" s="26" t="s">
        <v>564</v>
      </c>
      <c r="F79" s="26" t="s">
        <v>565</v>
      </c>
      <c r="G79" s="28">
        <v>19308</v>
      </c>
      <c r="H79" s="28">
        <v>1318</v>
      </c>
      <c r="I79" s="28">
        <v>795</v>
      </c>
      <c r="J79" s="28">
        <v>1499</v>
      </c>
      <c r="K79" s="29">
        <v>52307</v>
      </c>
      <c r="L79" s="28">
        <v>193087</v>
      </c>
      <c r="M79" s="26" t="s">
        <v>27</v>
      </c>
      <c r="N79" s="30">
        <f t="shared" si="1"/>
        <v>0.110939628250478</v>
      </c>
    </row>
    <row r="80">
      <c r="A80" s="25" t="s">
        <v>502</v>
      </c>
      <c r="B80" s="26" t="s">
        <v>23</v>
      </c>
      <c r="C80" s="27">
        <v>45925</v>
      </c>
      <c r="D80" s="26" t="s">
        <v>38</v>
      </c>
      <c r="E80" s="26" t="s">
        <v>566</v>
      </c>
      <c r="F80" s="26" t="s">
        <v>35</v>
      </c>
      <c r="G80" s="28">
        <v>12568</v>
      </c>
      <c r="H80" s="28">
        <v>541</v>
      </c>
      <c r="I80" s="28">
        <v>273</v>
      </c>
      <c r="J80" s="28">
        <v>2767</v>
      </c>
      <c r="K80" s="29">
        <v>22331</v>
      </c>
      <c r="L80" s="28">
        <v>192747</v>
      </c>
      <c r="M80" s="26" t="s">
        <v>21</v>
      </c>
      <c r="N80" s="30">
        <f t="shared" si="1"/>
        <v>0.0694277991356545</v>
      </c>
    </row>
    <row r="81">
      <c r="A81" s="25" t="s">
        <v>501</v>
      </c>
      <c r="B81" s="26" t="s">
        <v>510</v>
      </c>
      <c r="C81" s="27">
        <v>45924</v>
      </c>
      <c r="D81" s="26" t="s">
        <v>25</v>
      </c>
      <c r="E81" s="26" t="s">
        <v>557</v>
      </c>
      <c r="F81" s="26" t="s">
        <v>555</v>
      </c>
      <c r="G81" s="28">
        <v>3342</v>
      </c>
      <c r="H81" s="28">
        <v>787</v>
      </c>
      <c r="I81" s="28">
        <v>375</v>
      </c>
      <c r="J81" s="28">
        <v>907</v>
      </c>
      <c r="K81" s="29">
        <v>85823</v>
      </c>
      <c r="L81" s="28">
        <v>99189</v>
      </c>
      <c r="M81" s="26" t="s">
        <v>21</v>
      </c>
      <c r="N81" s="30">
        <f t="shared" si="1"/>
        <v>0.045408260996683103</v>
      </c>
    </row>
    <row r="82">
      <c r="A82" s="25" t="s">
        <v>499</v>
      </c>
      <c r="B82" s="26" t="s">
        <v>46</v>
      </c>
      <c r="C82" s="27">
        <v>45650</v>
      </c>
      <c r="D82" s="26" t="s">
        <v>15</v>
      </c>
      <c r="E82" s="26" t="s">
        <v>85</v>
      </c>
      <c r="F82" s="26" t="s">
        <v>561</v>
      </c>
      <c r="G82" s="28">
        <v>10512</v>
      </c>
      <c r="H82" s="28">
        <v>1197</v>
      </c>
      <c r="I82" s="28">
        <v>544</v>
      </c>
      <c r="J82" s="28">
        <v>2012</v>
      </c>
      <c r="K82" s="29">
        <v>10245</v>
      </c>
      <c r="L82" s="28">
        <v>140102</v>
      </c>
      <c r="M82" s="26" t="s">
        <v>17</v>
      </c>
      <c r="N82" s="30">
        <f t="shared" si="1"/>
        <v>0.087457709383163704</v>
      </c>
    </row>
    <row r="83">
      <c r="A83" s="25" t="s">
        <v>497</v>
      </c>
      <c r="B83" s="26" t="s">
        <v>511</v>
      </c>
      <c r="C83" s="27">
        <v>45963</v>
      </c>
      <c r="D83" s="26" t="s">
        <v>38</v>
      </c>
      <c r="E83" s="26" t="s">
        <v>551</v>
      </c>
      <c r="F83" s="26" t="s">
        <v>552</v>
      </c>
      <c r="G83" s="28">
        <v>3619</v>
      </c>
      <c r="H83" s="28">
        <v>1376</v>
      </c>
      <c r="I83" s="28">
        <v>410</v>
      </c>
      <c r="J83" s="28">
        <v>2499</v>
      </c>
      <c r="K83" s="29">
        <v>58146</v>
      </c>
      <c r="L83" s="28">
        <v>52149</v>
      </c>
      <c r="M83" s="26" t="s">
        <v>17</v>
      </c>
      <c r="N83" s="30">
        <f t="shared" si="1"/>
        <v>0.103645323975532</v>
      </c>
    </row>
    <row r="84">
      <c r="A84" s="25" t="s">
        <v>495</v>
      </c>
      <c r="B84" s="26" t="s">
        <v>46</v>
      </c>
      <c r="C84" s="27">
        <v>45813</v>
      </c>
      <c r="D84" s="26" t="s">
        <v>38</v>
      </c>
      <c r="E84" s="26" t="s">
        <v>562</v>
      </c>
      <c r="F84" s="26" t="s">
        <v>563</v>
      </c>
      <c r="G84" s="28">
        <v>7287</v>
      </c>
      <c r="H84" s="28">
        <v>1240</v>
      </c>
      <c r="I84" s="28">
        <v>686</v>
      </c>
      <c r="J84" s="28">
        <v>1255</v>
      </c>
      <c r="K84" s="29">
        <v>15403</v>
      </c>
      <c r="L84" s="28">
        <v>147971</v>
      </c>
      <c r="M84" s="26" t="s">
        <v>17</v>
      </c>
      <c r="N84" s="30">
        <f t="shared" si="1"/>
        <v>0.062262200025680697</v>
      </c>
    </row>
    <row r="85">
      <c r="A85" s="25" t="s">
        <v>493</v>
      </c>
      <c r="B85" s="26" t="s">
        <v>46</v>
      </c>
      <c r="C85" s="27">
        <v>45462</v>
      </c>
      <c r="D85" s="26" t="s">
        <v>38</v>
      </c>
      <c r="E85" s="26" t="s">
        <v>566</v>
      </c>
      <c r="F85" s="26" t="s">
        <v>35</v>
      </c>
      <c r="G85" s="28">
        <v>20444</v>
      </c>
      <c r="H85" s="28">
        <v>233</v>
      </c>
      <c r="I85" s="28">
        <v>189</v>
      </c>
      <c r="J85" s="28">
        <v>2879</v>
      </c>
      <c r="K85" s="29">
        <v>28185</v>
      </c>
      <c r="L85" s="28">
        <v>159891</v>
      </c>
      <c r="M85" s="26" t="s">
        <v>32</v>
      </c>
      <c r="N85" s="30">
        <f t="shared" si="1"/>
        <v>0.13050140408153099</v>
      </c>
    </row>
    <row r="86">
      <c r="A86" s="25" t="s">
        <v>491</v>
      </c>
      <c r="B86" s="26" t="s">
        <v>23</v>
      </c>
      <c r="C86" s="27">
        <v>45791</v>
      </c>
      <c r="D86" s="26" t="s">
        <v>15</v>
      </c>
      <c r="E86" s="26" t="s">
        <v>555</v>
      </c>
      <c r="F86" s="26" t="s">
        <v>560</v>
      </c>
      <c r="G86" s="28">
        <v>9041</v>
      </c>
      <c r="H86" s="28">
        <v>1133</v>
      </c>
      <c r="I86" s="28">
        <v>612</v>
      </c>
      <c r="J86" s="28">
        <v>1687</v>
      </c>
      <c r="K86" s="29">
        <v>28102</v>
      </c>
      <c r="L86" s="28">
        <v>195683</v>
      </c>
      <c r="M86" s="26" t="s">
        <v>32</v>
      </c>
      <c r="N86" s="30">
        <f t="shared" si="1"/>
        <v>0.055119760020032403</v>
      </c>
    </row>
    <row r="87">
      <c r="A87" s="25" t="s">
        <v>489</v>
      </c>
      <c r="B87" s="26" t="s">
        <v>510</v>
      </c>
      <c r="C87" s="27">
        <v>45613</v>
      </c>
      <c r="D87" s="26" t="s">
        <v>38</v>
      </c>
      <c r="E87" s="26" t="s">
        <v>549</v>
      </c>
      <c r="F87" s="26" t="s">
        <v>550</v>
      </c>
      <c r="G87" s="28">
        <v>4219</v>
      </c>
      <c r="H87" s="28">
        <v>240</v>
      </c>
      <c r="I87" s="28">
        <v>670</v>
      </c>
      <c r="J87" s="28">
        <v>815</v>
      </c>
      <c r="K87" s="29">
        <v>11978</v>
      </c>
      <c r="L87" s="28">
        <v>159735</v>
      </c>
      <c r="M87" s="26" t="s">
        <v>32</v>
      </c>
      <c r="N87" s="30">
        <f t="shared" si="1"/>
        <v>0.032109431245500399</v>
      </c>
    </row>
    <row r="88">
      <c r="A88" s="25" t="s">
        <v>488</v>
      </c>
      <c r="B88" s="26" t="s">
        <v>23</v>
      </c>
      <c r="C88" s="27">
        <v>45454</v>
      </c>
      <c r="D88" s="26" t="s">
        <v>15</v>
      </c>
      <c r="E88" s="26" t="s">
        <v>549</v>
      </c>
      <c r="F88" s="26" t="s">
        <v>550</v>
      </c>
      <c r="G88" s="28">
        <v>11865</v>
      </c>
      <c r="H88" s="28">
        <v>241</v>
      </c>
      <c r="I88" s="28">
        <v>319</v>
      </c>
      <c r="J88" s="28">
        <v>703</v>
      </c>
      <c r="K88" s="29">
        <v>69596</v>
      </c>
      <c r="L88" s="28">
        <v>177513</v>
      </c>
      <c r="M88" s="26" t="s">
        <v>32</v>
      </c>
      <c r="N88" s="30">
        <f t="shared" si="1"/>
        <v>0.069994873614890193</v>
      </c>
    </row>
    <row r="89">
      <c r="A89" s="25" t="s">
        <v>487</v>
      </c>
      <c r="B89" s="26" t="s">
        <v>511</v>
      </c>
      <c r="C89" s="27">
        <v>45920</v>
      </c>
      <c r="D89" s="26" t="s">
        <v>15</v>
      </c>
      <c r="E89" s="26" t="s">
        <v>35</v>
      </c>
      <c r="F89" s="26" t="s">
        <v>561</v>
      </c>
      <c r="G89" s="28">
        <v>24422</v>
      </c>
      <c r="H89" s="28">
        <v>327</v>
      </c>
      <c r="I89" s="28">
        <v>481</v>
      </c>
      <c r="J89" s="28">
        <v>2371</v>
      </c>
      <c r="K89" s="29">
        <v>35340</v>
      </c>
      <c r="L89" s="28">
        <v>245244</v>
      </c>
      <c r="M89" s="26" t="s">
        <v>21</v>
      </c>
      <c r="N89" s="30">
        <f t="shared" si="1"/>
        <v>0.10287713460879799</v>
      </c>
    </row>
    <row r="90">
      <c r="A90" s="25" t="s">
        <v>84</v>
      </c>
      <c r="B90" s="26" t="s">
        <v>511</v>
      </c>
      <c r="C90" s="27">
        <v>45939</v>
      </c>
      <c r="D90" s="26" t="s">
        <v>38</v>
      </c>
      <c r="E90" s="26" t="s">
        <v>85</v>
      </c>
      <c r="F90" s="26" t="s">
        <v>561</v>
      </c>
      <c r="G90" s="28">
        <v>9266</v>
      </c>
      <c r="H90" s="28">
        <v>999</v>
      </c>
      <c r="I90" s="28">
        <v>928</v>
      </c>
      <c r="J90" s="28">
        <v>2700</v>
      </c>
      <c r="K90" s="29">
        <v>12264</v>
      </c>
      <c r="L90" s="28">
        <v>128397</v>
      </c>
      <c r="M90" s="26" t="s">
        <v>21</v>
      </c>
      <c r="N90" s="30">
        <f t="shared" si="1"/>
        <v>0.087174933993784898</v>
      </c>
    </row>
    <row r="91">
      <c r="A91" s="25" t="s">
        <v>486</v>
      </c>
      <c r="B91" s="26" t="s">
        <v>23</v>
      </c>
      <c r="C91" s="27">
        <v>45624</v>
      </c>
      <c r="D91" s="26" t="s">
        <v>38</v>
      </c>
      <c r="E91" s="26" t="s">
        <v>549</v>
      </c>
      <c r="F91" s="26" t="s">
        <v>550</v>
      </c>
      <c r="G91" s="28">
        <v>18644</v>
      </c>
      <c r="H91" s="28">
        <v>1369</v>
      </c>
      <c r="I91" s="28">
        <v>887</v>
      </c>
      <c r="J91" s="28">
        <v>1256</v>
      </c>
      <c r="K91" s="29">
        <v>43415</v>
      </c>
      <c r="L91" s="28">
        <v>88368</v>
      </c>
      <c r="M91" s="26" t="s">
        <v>27</v>
      </c>
      <c r="N91" s="30">
        <f t="shared" si="1"/>
        <v>0.23651095419156301</v>
      </c>
    </row>
    <row r="92">
      <c r="A92" s="25" t="s">
        <v>484</v>
      </c>
      <c r="B92" s="26" t="s">
        <v>23</v>
      </c>
      <c r="C92" s="27">
        <v>45764</v>
      </c>
      <c r="D92" s="26" t="s">
        <v>25</v>
      </c>
      <c r="E92" s="26" t="s">
        <v>553</v>
      </c>
      <c r="F92" s="26" t="s">
        <v>554</v>
      </c>
      <c r="G92" s="28">
        <v>2009</v>
      </c>
      <c r="H92" s="28">
        <v>1037</v>
      </c>
      <c r="I92" s="28">
        <v>344</v>
      </c>
      <c r="J92" s="28">
        <v>2277</v>
      </c>
      <c r="K92" s="29">
        <v>85743</v>
      </c>
      <c r="L92" s="28">
        <v>58743</v>
      </c>
      <c r="M92" s="26" t="s">
        <v>32</v>
      </c>
      <c r="N92" s="30">
        <f t="shared" si="1"/>
        <v>0.057709003625963901</v>
      </c>
    </row>
    <row r="93">
      <c r="A93" s="25" t="s">
        <v>483</v>
      </c>
      <c r="B93" s="26" t="s">
        <v>23</v>
      </c>
      <c r="C93" s="27">
        <v>45519</v>
      </c>
      <c r="D93" s="26" t="s">
        <v>30</v>
      </c>
      <c r="E93" s="26" t="s">
        <v>555</v>
      </c>
      <c r="F93" s="26" t="s">
        <v>556</v>
      </c>
      <c r="G93" s="28">
        <v>14977</v>
      </c>
      <c r="H93" s="28">
        <v>274</v>
      </c>
      <c r="I93" s="28">
        <v>798</v>
      </c>
      <c r="J93" s="28">
        <v>458</v>
      </c>
      <c r="K93" s="29">
        <v>6636</v>
      </c>
      <c r="L93" s="28">
        <v>43654</v>
      </c>
      <c r="M93" s="26" t="s">
        <v>17</v>
      </c>
      <c r="N93" s="30">
        <f t="shared" si="1"/>
        <v>0.367640995097815</v>
      </c>
    </row>
    <row r="94">
      <c r="A94" s="25" t="s">
        <v>482</v>
      </c>
      <c r="B94" s="26" t="s">
        <v>510</v>
      </c>
      <c r="C94" s="27">
        <v>45919</v>
      </c>
      <c r="D94" s="26" t="s">
        <v>25</v>
      </c>
      <c r="E94" s="26" t="s">
        <v>553</v>
      </c>
      <c r="F94" s="26" t="s">
        <v>554</v>
      </c>
      <c r="G94" s="28">
        <v>22128</v>
      </c>
      <c r="H94" s="28">
        <v>1004</v>
      </c>
      <c r="I94" s="28">
        <v>690</v>
      </c>
      <c r="J94" s="28">
        <v>2048</v>
      </c>
      <c r="K94" s="29">
        <v>19443</v>
      </c>
      <c r="L94" s="28">
        <v>103646</v>
      </c>
      <c r="M94" s="26" t="s">
        <v>21</v>
      </c>
      <c r="N94" s="30">
        <f t="shared" si="1"/>
        <v>0.22984003241803799</v>
      </c>
    </row>
    <row r="95">
      <c r="A95" s="25" t="s">
        <v>481</v>
      </c>
      <c r="B95" s="26" t="s">
        <v>46</v>
      </c>
      <c r="C95" s="27">
        <v>45491</v>
      </c>
      <c r="D95" s="26" t="s">
        <v>30</v>
      </c>
      <c r="E95" s="26" t="s">
        <v>562</v>
      </c>
      <c r="F95" s="26" t="s">
        <v>563</v>
      </c>
      <c r="G95" s="28">
        <v>16594</v>
      </c>
      <c r="H95" s="28">
        <v>809</v>
      </c>
      <c r="I95" s="28">
        <v>784</v>
      </c>
      <c r="J95" s="28">
        <v>1655</v>
      </c>
      <c r="K95" s="29">
        <v>35505</v>
      </c>
      <c r="L95" s="28">
        <v>112588</v>
      </c>
      <c r="M95" s="26" t="s">
        <v>27</v>
      </c>
      <c r="N95" s="30">
        <f t="shared" si="1"/>
        <v>0.161535865278715</v>
      </c>
    </row>
    <row r="96">
      <c r="A96" s="25" t="s">
        <v>480</v>
      </c>
      <c r="B96" s="26" t="s">
        <v>510</v>
      </c>
      <c r="C96" s="27">
        <v>45552</v>
      </c>
      <c r="D96" s="26" t="s">
        <v>30</v>
      </c>
      <c r="E96" s="26" t="s">
        <v>549</v>
      </c>
      <c r="F96" s="26" t="s">
        <v>550</v>
      </c>
      <c r="G96" s="28">
        <v>20410</v>
      </c>
      <c r="H96" s="28">
        <v>1332</v>
      </c>
      <c r="I96" s="28">
        <v>472</v>
      </c>
      <c r="J96" s="28">
        <v>1202</v>
      </c>
      <c r="K96" s="29">
        <v>9418</v>
      </c>
      <c r="L96" s="28">
        <v>200806</v>
      </c>
      <c r="M96" s="26" t="s">
        <v>17</v>
      </c>
      <c r="N96" s="30">
        <f t="shared" si="1"/>
        <v>0.110624184536319</v>
      </c>
    </row>
    <row r="97">
      <c r="A97" s="25" t="s">
        <v>478</v>
      </c>
      <c r="B97" s="26" t="s">
        <v>46</v>
      </c>
      <c r="C97" s="27">
        <v>45905</v>
      </c>
      <c r="D97" s="26" t="s">
        <v>38</v>
      </c>
      <c r="E97" s="26" t="s">
        <v>553</v>
      </c>
      <c r="F97" s="26" t="s">
        <v>554</v>
      </c>
      <c r="G97" s="28">
        <v>8988</v>
      </c>
      <c r="H97" s="28">
        <v>228</v>
      </c>
      <c r="I97" s="28">
        <v>766</v>
      </c>
      <c r="J97" s="28">
        <v>652</v>
      </c>
      <c r="K97" s="29">
        <v>63789</v>
      </c>
      <c r="L97" s="28">
        <v>219785</v>
      </c>
      <c r="M97" s="26" t="s">
        <v>27</v>
      </c>
      <c r="N97" s="30">
        <f t="shared" si="1"/>
        <v>0.045417112177810103</v>
      </c>
    </row>
    <row r="98">
      <c r="A98" s="25" t="s">
        <v>476</v>
      </c>
      <c r="B98" s="26" t="s">
        <v>511</v>
      </c>
      <c r="C98" s="27">
        <v>45361</v>
      </c>
      <c r="D98" s="26" t="s">
        <v>15</v>
      </c>
      <c r="E98" s="26" t="s">
        <v>555</v>
      </c>
      <c r="F98" s="26" t="s">
        <v>556</v>
      </c>
      <c r="G98" s="28">
        <v>22618</v>
      </c>
      <c r="H98" s="28">
        <v>641</v>
      </c>
      <c r="I98" s="28">
        <v>416</v>
      </c>
      <c r="J98" s="28">
        <v>1530</v>
      </c>
      <c r="K98" s="29">
        <v>18395</v>
      </c>
      <c r="L98" s="28">
        <v>215211</v>
      </c>
      <c r="M98" s="26" t="s">
        <v>55</v>
      </c>
      <c r="N98" s="30">
        <f t="shared" si="1"/>
        <v>0.110008317418719</v>
      </c>
    </row>
    <row r="99">
      <c r="A99" s="25" t="s">
        <v>474</v>
      </c>
      <c r="B99" s="26" t="s">
        <v>511</v>
      </c>
      <c r="C99" s="27">
        <v>45738</v>
      </c>
      <c r="D99" s="26" t="s">
        <v>30</v>
      </c>
      <c r="E99" s="26" t="s">
        <v>555</v>
      </c>
      <c r="F99" s="26" t="s">
        <v>560</v>
      </c>
      <c r="G99" s="28">
        <v>3917</v>
      </c>
      <c r="H99" s="28">
        <v>865</v>
      </c>
      <c r="I99" s="28">
        <v>759</v>
      </c>
      <c r="J99" s="28">
        <v>2282</v>
      </c>
      <c r="K99" s="29">
        <v>56125</v>
      </c>
      <c r="L99" s="28">
        <v>154014</v>
      </c>
      <c r="M99" s="26" t="s">
        <v>17</v>
      </c>
      <c r="N99" s="30">
        <f t="shared" si="1"/>
        <v>0.035977248821535697</v>
      </c>
    </row>
    <row r="100">
      <c r="A100" s="25" t="s">
        <v>473</v>
      </c>
      <c r="B100" s="26" t="s">
        <v>46</v>
      </c>
      <c r="C100" s="27">
        <v>45918</v>
      </c>
      <c r="D100" s="26" t="s">
        <v>30</v>
      </c>
      <c r="E100" s="26" t="s">
        <v>549</v>
      </c>
      <c r="F100" s="26" t="s">
        <v>550</v>
      </c>
      <c r="G100" s="28">
        <v>3828</v>
      </c>
      <c r="H100" s="28">
        <v>203</v>
      </c>
      <c r="I100" s="28">
        <v>506</v>
      </c>
      <c r="J100" s="28">
        <v>2440</v>
      </c>
      <c r="K100" s="29">
        <v>63650</v>
      </c>
      <c r="L100" s="28">
        <v>126365</v>
      </c>
      <c r="M100" s="26" t="s">
        <v>21</v>
      </c>
      <c r="N100" s="30">
        <f t="shared" si="1"/>
        <v>0.035903929094290299</v>
      </c>
    </row>
    <row r="101">
      <c r="A101" s="25" t="s">
        <v>82</v>
      </c>
      <c r="B101" s="26" t="s">
        <v>46</v>
      </c>
      <c r="C101" s="27">
        <v>45750</v>
      </c>
      <c r="D101" s="26" t="s">
        <v>25</v>
      </c>
      <c r="E101" s="26" t="s">
        <v>35</v>
      </c>
      <c r="F101" s="26" t="s">
        <v>561</v>
      </c>
      <c r="G101" s="28">
        <v>12344</v>
      </c>
      <c r="H101" s="28">
        <v>815</v>
      </c>
      <c r="I101" s="28">
        <v>298</v>
      </c>
      <c r="J101" s="28">
        <v>2439</v>
      </c>
      <c r="K101" s="29">
        <v>6259</v>
      </c>
      <c r="L101" s="28">
        <v>237133</v>
      </c>
      <c r="M101" s="26" t="s">
        <v>32</v>
      </c>
      <c r="N101" s="30">
        <f t="shared" si="1"/>
        <v>0.056748744375519203</v>
      </c>
    </row>
    <row r="102">
      <c r="A102" s="25" t="s">
        <v>472</v>
      </c>
      <c r="B102" s="26" t="s">
        <v>23</v>
      </c>
      <c r="C102" s="27">
        <v>45331</v>
      </c>
      <c r="D102" s="26" t="s">
        <v>30</v>
      </c>
      <c r="E102" s="26" t="s">
        <v>555</v>
      </c>
      <c r="F102" s="26" t="s">
        <v>556</v>
      </c>
      <c r="G102" s="28">
        <v>11765</v>
      </c>
      <c r="H102" s="28">
        <v>693</v>
      </c>
      <c r="I102" s="28">
        <v>729</v>
      </c>
      <c r="J102" s="28">
        <v>744</v>
      </c>
      <c r="K102" s="29">
        <v>97772</v>
      </c>
      <c r="L102" s="28">
        <v>194243</v>
      </c>
      <c r="M102" s="26" t="s">
        <v>17</v>
      </c>
      <c r="N102" s="30">
        <f t="shared" si="1"/>
        <v>0.067889190344053593</v>
      </c>
    </row>
    <row r="103">
      <c r="A103" s="25" t="s">
        <v>470</v>
      </c>
      <c r="B103" s="26" t="s">
        <v>46</v>
      </c>
      <c r="C103" s="27">
        <v>45622</v>
      </c>
      <c r="D103" s="26" t="s">
        <v>30</v>
      </c>
      <c r="E103" s="26" t="s">
        <v>549</v>
      </c>
      <c r="F103" s="26" t="s">
        <v>550</v>
      </c>
      <c r="G103" s="28">
        <v>14607</v>
      </c>
      <c r="H103" s="28">
        <v>1458</v>
      </c>
      <c r="I103" s="28">
        <v>478</v>
      </c>
      <c r="J103" s="28">
        <v>334</v>
      </c>
      <c r="K103" s="29">
        <v>49257</v>
      </c>
      <c r="L103" s="28">
        <v>214668</v>
      </c>
      <c r="M103" s="26" t="s">
        <v>32</v>
      </c>
      <c r="N103" s="30">
        <f t="shared" si="1"/>
        <v>0.077063185942944507</v>
      </c>
    </row>
    <row r="104">
      <c r="A104" s="25" t="s">
        <v>469</v>
      </c>
      <c r="B104" s="26" t="s">
        <v>23</v>
      </c>
      <c r="C104" s="27">
        <v>45812</v>
      </c>
      <c r="D104" s="26" t="s">
        <v>15</v>
      </c>
      <c r="E104" s="26" t="s">
        <v>85</v>
      </c>
      <c r="F104" s="26" t="s">
        <v>561</v>
      </c>
      <c r="G104" s="28">
        <v>14941</v>
      </c>
      <c r="H104" s="28">
        <v>1424</v>
      </c>
      <c r="I104" s="28">
        <v>238</v>
      </c>
      <c r="J104" s="28">
        <v>1054</v>
      </c>
      <c r="K104" s="29">
        <v>20516</v>
      </c>
      <c r="L104" s="28">
        <v>216048</v>
      </c>
      <c r="M104" s="26" t="s">
        <v>55</v>
      </c>
      <c r="N104" s="30">
        <f t="shared" si="1"/>
        <v>0.076848663260016298</v>
      </c>
    </row>
    <row r="105">
      <c r="A105" s="25" t="s">
        <v>467</v>
      </c>
      <c r="B105" s="26" t="s">
        <v>511</v>
      </c>
      <c r="C105" s="27">
        <v>45479</v>
      </c>
      <c r="D105" s="26" t="s">
        <v>30</v>
      </c>
      <c r="E105" s="26" t="s">
        <v>555</v>
      </c>
      <c r="F105" s="26" t="s">
        <v>556</v>
      </c>
      <c r="G105" s="28">
        <v>8233</v>
      </c>
      <c r="H105" s="28">
        <v>436</v>
      </c>
      <c r="I105" s="28">
        <v>269</v>
      </c>
      <c r="J105" s="28">
        <v>2037</v>
      </c>
      <c r="K105" s="29">
        <v>8875</v>
      </c>
      <c r="L105" s="28">
        <v>52289</v>
      </c>
      <c r="M105" s="26" t="s">
        <v>17</v>
      </c>
      <c r="N105" s="30">
        <f t="shared" si="1"/>
        <v>0.17093461339861199</v>
      </c>
    </row>
    <row r="106">
      <c r="A106" s="25" t="s">
        <v>466</v>
      </c>
      <c r="B106" s="26" t="s">
        <v>23</v>
      </c>
      <c r="C106" s="27">
        <v>45420</v>
      </c>
      <c r="D106" s="26" t="s">
        <v>25</v>
      </c>
      <c r="E106" s="26" t="s">
        <v>553</v>
      </c>
      <c r="F106" s="26" t="s">
        <v>554</v>
      </c>
      <c r="G106" s="28">
        <v>4048</v>
      </c>
      <c r="H106" s="28">
        <v>751</v>
      </c>
      <c r="I106" s="28">
        <v>930</v>
      </c>
      <c r="J106" s="28">
        <v>1382</v>
      </c>
      <c r="K106" s="29">
        <v>16844</v>
      </c>
      <c r="L106" s="28">
        <v>148177</v>
      </c>
      <c r="M106" s="26" t="s">
        <v>32</v>
      </c>
      <c r="N106" s="30">
        <f t="shared" si="1"/>
        <v>0.038663220337839199</v>
      </c>
    </row>
    <row r="107">
      <c r="A107" s="25" t="s">
        <v>465</v>
      </c>
      <c r="B107" s="26" t="s">
        <v>511</v>
      </c>
      <c r="C107" s="27">
        <v>45658</v>
      </c>
      <c r="D107" s="26" t="s">
        <v>30</v>
      </c>
      <c r="E107" s="26" t="s">
        <v>549</v>
      </c>
      <c r="F107" s="26" t="s">
        <v>550</v>
      </c>
      <c r="G107" s="28">
        <v>8283</v>
      </c>
      <c r="H107" s="28">
        <v>720</v>
      </c>
      <c r="I107" s="28">
        <v>888</v>
      </c>
      <c r="J107" s="28">
        <v>611</v>
      </c>
      <c r="K107" s="29">
        <v>52791</v>
      </c>
      <c r="L107" s="28">
        <v>235229</v>
      </c>
      <c r="M107" s="26" t="s">
        <v>17</v>
      </c>
      <c r="N107" s="30">
        <f t="shared" si="1"/>
        <v>0.042048386891072098</v>
      </c>
    </row>
    <row r="108">
      <c r="A108" s="25" t="s">
        <v>463</v>
      </c>
      <c r="B108" s="26" t="s">
        <v>511</v>
      </c>
      <c r="C108" s="27">
        <v>45636</v>
      </c>
      <c r="D108" s="26" t="s">
        <v>15</v>
      </c>
      <c r="E108" s="26" t="s">
        <v>551</v>
      </c>
      <c r="F108" s="26" t="s">
        <v>552</v>
      </c>
      <c r="G108" s="28">
        <v>6208</v>
      </c>
      <c r="H108" s="28">
        <v>725</v>
      </c>
      <c r="I108" s="28">
        <v>309</v>
      </c>
      <c r="J108" s="28">
        <v>848</v>
      </c>
      <c r="K108" s="29">
        <v>39319</v>
      </c>
      <c r="L108" s="28">
        <v>225763</v>
      </c>
      <c r="M108" s="26" t="s">
        <v>17</v>
      </c>
      <c r="N108" s="30">
        <f t="shared" si="1"/>
        <v>0.032077886987681797</v>
      </c>
    </row>
    <row r="109">
      <c r="A109" s="25" t="s">
        <v>461</v>
      </c>
      <c r="B109" s="26" t="s">
        <v>511</v>
      </c>
      <c r="C109" s="27">
        <v>45743</v>
      </c>
      <c r="D109" s="26" t="s">
        <v>25</v>
      </c>
      <c r="E109" s="26" t="s">
        <v>566</v>
      </c>
      <c r="F109" s="26" t="s">
        <v>35</v>
      </c>
      <c r="G109" s="28">
        <v>14819</v>
      </c>
      <c r="H109" s="28">
        <v>1432</v>
      </c>
      <c r="I109" s="28">
        <v>152</v>
      </c>
      <c r="J109" s="28">
        <v>961</v>
      </c>
      <c r="K109" s="29">
        <v>39154</v>
      </c>
      <c r="L109" s="28">
        <v>154793</v>
      </c>
      <c r="M109" s="26" t="s">
        <v>32</v>
      </c>
      <c r="N109" s="30">
        <f t="shared" si="1"/>
        <v>0.105967324103803</v>
      </c>
    </row>
    <row r="110">
      <c r="A110" s="25" t="s">
        <v>459</v>
      </c>
      <c r="B110" s="26" t="s">
        <v>46</v>
      </c>
      <c r="C110" s="27">
        <v>45582</v>
      </c>
      <c r="D110" s="26" t="s">
        <v>30</v>
      </c>
      <c r="E110" s="26" t="s">
        <v>564</v>
      </c>
      <c r="F110" s="26" t="s">
        <v>565</v>
      </c>
      <c r="G110" s="28">
        <v>18608</v>
      </c>
      <c r="H110" s="28">
        <v>1338</v>
      </c>
      <c r="I110" s="28">
        <v>365</v>
      </c>
      <c r="J110" s="28">
        <v>2289</v>
      </c>
      <c r="K110" s="29">
        <v>20785</v>
      </c>
      <c r="L110" s="28">
        <v>161999</v>
      </c>
      <c r="M110" s="26" t="s">
        <v>17</v>
      </c>
      <c r="N110" s="30">
        <f t="shared" si="1"/>
        <v>0.12537731714393299</v>
      </c>
    </row>
    <row r="111">
      <c r="A111" s="25" t="s">
        <v>458</v>
      </c>
      <c r="B111" s="26" t="s">
        <v>510</v>
      </c>
      <c r="C111" s="27">
        <v>45672</v>
      </c>
      <c r="D111" s="26" t="s">
        <v>25</v>
      </c>
      <c r="E111" s="26" t="s">
        <v>558</v>
      </c>
      <c r="F111" s="26" t="s">
        <v>559</v>
      </c>
      <c r="G111" s="28">
        <v>11333</v>
      </c>
      <c r="H111" s="28">
        <v>920</v>
      </c>
      <c r="I111" s="28">
        <v>294</v>
      </c>
      <c r="J111" s="28">
        <v>606</v>
      </c>
      <c r="K111" s="29">
        <v>59490</v>
      </c>
      <c r="L111" s="28">
        <v>202082</v>
      </c>
      <c r="M111" s="26" t="s">
        <v>27</v>
      </c>
      <c r="N111" s="30">
        <f t="shared" si="1"/>
        <v>0.062088657079799298</v>
      </c>
    </row>
    <row r="112">
      <c r="A112" s="25" t="s">
        <v>80</v>
      </c>
      <c r="B112" s="26" t="s">
        <v>46</v>
      </c>
      <c r="C112" s="27">
        <v>45552</v>
      </c>
      <c r="D112" s="26" t="s">
        <v>25</v>
      </c>
      <c r="E112" s="26" t="s">
        <v>557</v>
      </c>
      <c r="F112" s="26" t="s">
        <v>555</v>
      </c>
      <c r="G112" s="28">
        <v>20017</v>
      </c>
      <c r="H112" s="28">
        <v>495</v>
      </c>
      <c r="I112" s="28">
        <v>178</v>
      </c>
      <c r="J112" s="28">
        <v>2683</v>
      </c>
      <c r="K112" s="29">
        <v>32244</v>
      </c>
      <c r="L112" s="28">
        <v>182633</v>
      </c>
      <c r="M112" s="26" t="s">
        <v>17</v>
      </c>
      <c r="N112" s="30">
        <f t="shared" si="1"/>
        <v>0.113287302951821</v>
      </c>
    </row>
    <row r="113">
      <c r="A113" s="25" t="s">
        <v>456</v>
      </c>
      <c r="B113" s="26" t="s">
        <v>510</v>
      </c>
      <c r="C113" s="27">
        <v>45423</v>
      </c>
      <c r="D113" s="26" t="s">
        <v>25</v>
      </c>
      <c r="E113" s="26" t="s">
        <v>85</v>
      </c>
      <c r="F113" s="26" t="s">
        <v>561</v>
      </c>
      <c r="G113" s="28">
        <v>8469</v>
      </c>
      <c r="H113" s="28">
        <v>935</v>
      </c>
      <c r="I113" s="28">
        <v>211</v>
      </c>
      <c r="J113" s="28">
        <v>2635</v>
      </c>
      <c r="K113" s="29">
        <v>21890</v>
      </c>
      <c r="L113" s="28">
        <v>184539</v>
      </c>
      <c r="M113" s="26" t="s">
        <v>55</v>
      </c>
      <c r="N113" s="30">
        <f t="shared" si="1"/>
        <v>0.052102807536618299</v>
      </c>
    </row>
    <row r="114">
      <c r="A114" s="25" t="s">
        <v>454</v>
      </c>
      <c r="B114" s="26" t="s">
        <v>511</v>
      </c>
      <c r="C114" s="27">
        <v>45760</v>
      </c>
      <c r="D114" s="26" t="s">
        <v>38</v>
      </c>
      <c r="E114" s="26" t="s">
        <v>85</v>
      </c>
      <c r="F114" s="26" t="s">
        <v>561</v>
      </c>
      <c r="G114" s="28">
        <v>24700</v>
      </c>
      <c r="H114" s="28">
        <v>327</v>
      </c>
      <c r="I114" s="28">
        <v>999</v>
      </c>
      <c r="J114" s="28">
        <v>994</v>
      </c>
      <c r="K114" s="29">
        <v>59400</v>
      </c>
      <c r="L114" s="28">
        <v>243502</v>
      </c>
      <c r="M114" s="26" t="s">
        <v>27</v>
      </c>
      <c r="N114" s="30">
        <f t="shared" si="1"/>
        <v>0.106882078997298</v>
      </c>
    </row>
    <row r="115">
      <c r="A115" s="25" t="s">
        <v>453</v>
      </c>
      <c r="B115" s="26" t="s">
        <v>511</v>
      </c>
      <c r="C115" s="27">
        <v>45392</v>
      </c>
      <c r="D115" s="26" t="s">
        <v>30</v>
      </c>
      <c r="E115" s="26" t="s">
        <v>555</v>
      </c>
      <c r="F115" s="26" t="s">
        <v>560</v>
      </c>
      <c r="G115" s="28">
        <v>15746</v>
      </c>
      <c r="H115" s="28">
        <v>258</v>
      </c>
      <c r="I115" s="28">
        <v>839</v>
      </c>
      <c r="J115" s="28">
        <v>2656</v>
      </c>
      <c r="K115" s="29">
        <v>66614</v>
      </c>
      <c r="L115" s="28">
        <v>213724</v>
      </c>
      <c r="M115" s="26" t="s">
        <v>27</v>
      </c>
      <c r="N115" s="30">
        <f t="shared" si="1"/>
        <v>0.078807246729426697</v>
      </c>
    </row>
    <row r="116">
      <c r="A116" s="25" t="s">
        <v>451</v>
      </c>
      <c r="B116" s="26" t="s">
        <v>46</v>
      </c>
      <c r="C116" s="27">
        <v>45621</v>
      </c>
      <c r="D116" s="26" t="s">
        <v>30</v>
      </c>
      <c r="E116" s="26" t="s">
        <v>557</v>
      </c>
      <c r="F116" s="26" t="s">
        <v>555</v>
      </c>
      <c r="G116" s="28">
        <v>17385</v>
      </c>
      <c r="H116" s="28">
        <v>831</v>
      </c>
      <c r="I116" s="28">
        <v>568</v>
      </c>
      <c r="J116" s="28">
        <v>2227</v>
      </c>
      <c r="K116" s="29">
        <v>49351</v>
      </c>
      <c r="L116" s="28">
        <v>207450</v>
      </c>
      <c r="M116" s="26" t="s">
        <v>27</v>
      </c>
      <c r="N116" s="30">
        <f t="shared" si="1"/>
        <v>0.090547119787900698</v>
      </c>
    </row>
    <row r="117">
      <c r="A117" s="25" t="s">
        <v>449</v>
      </c>
      <c r="B117" s="26" t="s">
        <v>510</v>
      </c>
      <c r="C117" s="27">
        <v>45708</v>
      </c>
      <c r="D117" s="26" t="s">
        <v>38</v>
      </c>
      <c r="E117" s="26" t="s">
        <v>557</v>
      </c>
      <c r="F117" s="26" t="s">
        <v>555</v>
      </c>
      <c r="G117" s="28">
        <v>15703</v>
      </c>
      <c r="H117" s="28">
        <v>1381</v>
      </c>
      <c r="I117" s="28">
        <v>639</v>
      </c>
      <c r="J117" s="28">
        <v>984</v>
      </c>
      <c r="K117" s="29">
        <v>10967</v>
      </c>
      <c r="L117" s="28">
        <v>133747</v>
      </c>
      <c r="M117" s="26" t="s">
        <v>55</v>
      </c>
      <c r="N117" s="30">
        <f t="shared" si="1"/>
        <v>0.132511383432899</v>
      </c>
    </row>
    <row r="118">
      <c r="A118" s="25" t="s">
        <v>447</v>
      </c>
      <c r="B118" s="26" t="s">
        <v>23</v>
      </c>
      <c r="C118" s="27">
        <v>45687</v>
      </c>
      <c r="D118" s="26" t="s">
        <v>25</v>
      </c>
      <c r="E118" s="26" t="s">
        <v>566</v>
      </c>
      <c r="F118" s="26" t="s">
        <v>35</v>
      </c>
      <c r="G118" s="28">
        <v>12954</v>
      </c>
      <c r="H118" s="28">
        <v>913</v>
      </c>
      <c r="I118" s="28">
        <v>722</v>
      </c>
      <c r="J118" s="28">
        <v>1049</v>
      </c>
      <c r="K118" s="29">
        <v>475</v>
      </c>
      <c r="L118" s="28">
        <v>97716</v>
      </c>
      <c r="M118" s="26" t="s">
        <v>17</v>
      </c>
      <c r="N118" s="30">
        <f t="shared" si="1"/>
        <v>0.14930001228048601</v>
      </c>
    </row>
    <row r="119">
      <c r="A119" s="25" t="s">
        <v>445</v>
      </c>
      <c r="B119" s="26" t="s">
        <v>23</v>
      </c>
      <c r="C119" s="27">
        <v>45524</v>
      </c>
      <c r="D119" s="26" t="s">
        <v>25</v>
      </c>
      <c r="E119" s="26" t="s">
        <v>35</v>
      </c>
      <c r="F119" s="26" t="s">
        <v>561</v>
      </c>
      <c r="G119" s="28">
        <v>2846</v>
      </c>
      <c r="H119" s="28">
        <v>792</v>
      </c>
      <c r="I119" s="28">
        <v>902</v>
      </c>
      <c r="J119" s="28">
        <v>2469</v>
      </c>
      <c r="K119" s="29">
        <v>12130</v>
      </c>
      <c r="L119" s="28">
        <v>47151</v>
      </c>
      <c r="M119" s="26" t="s">
        <v>17</v>
      </c>
      <c r="N119" s="30">
        <f t="shared" si="1"/>
        <v>0.096286399015927504</v>
      </c>
    </row>
    <row r="120">
      <c r="A120" s="25" t="s">
        <v>444</v>
      </c>
      <c r="B120" s="26" t="s">
        <v>46</v>
      </c>
      <c r="C120" s="27">
        <v>45675</v>
      </c>
      <c r="D120" s="26" t="s">
        <v>25</v>
      </c>
      <c r="E120" s="26" t="s">
        <v>566</v>
      </c>
      <c r="F120" s="26" t="s">
        <v>35</v>
      </c>
      <c r="G120" s="28">
        <v>22673</v>
      </c>
      <c r="H120" s="28">
        <v>1053</v>
      </c>
      <c r="I120" s="28">
        <v>169</v>
      </c>
      <c r="J120" s="28">
        <v>1566</v>
      </c>
      <c r="K120" s="29">
        <v>9417</v>
      </c>
      <c r="L120" s="28">
        <v>221187</v>
      </c>
      <c r="M120" s="26" t="s">
        <v>32</v>
      </c>
      <c r="N120" s="30">
        <f t="shared" si="1"/>
        <v>0.108030761301523</v>
      </c>
    </row>
    <row r="121">
      <c r="A121" s="25" t="s">
        <v>442</v>
      </c>
      <c r="B121" s="26" t="s">
        <v>23</v>
      </c>
      <c r="C121" s="27">
        <v>45592</v>
      </c>
      <c r="D121" s="26" t="s">
        <v>38</v>
      </c>
      <c r="E121" s="26" t="s">
        <v>562</v>
      </c>
      <c r="F121" s="26" t="s">
        <v>563</v>
      </c>
      <c r="G121" s="28">
        <v>7560</v>
      </c>
      <c r="H121" s="28">
        <v>1139</v>
      </c>
      <c r="I121" s="28">
        <v>248</v>
      </c>
      <c r="J121" s="28">
        <v>1624</v>
      </c>
      <c r="K121" s="29">
        <v>72237</v>
      </c>
      <c r="L121" s="28">
        <v>177084</v>
      </c>
      <c r="M121" s="26" t="s">
        <v>27</v>
      </c>
      <c r="N121" s="30">
        <f t="shared" si="1"/>
        <v>0.050524045085947898</v>
      </c>
    </row>
    <row r="122">
      <c r="A122" s="25" t="s">
        <v>440</v>
      </c>
      <c r="B122" s="26" t="s">
        <v>510</v>
      </c>
      <c r="C122" s="27">
        <v>45993</v>
      </c>
      <c r="D122" s="26" t="s">
        <v>30</v>
      </c>
      <c r="E122" s="26" t="s">
        <v>558</v>
      </c>
      <c r="F122" s="26" t="s">
        <v>559</v>
      </c>
      <c r="G122" s="28">
        <v>15234</v>
      </c>
      <c r="H122" s="28">
        <v>1276</v>
      </c>
      <c r="I122" s="28">
        <v>670</v>
      </c>
      <c r="J122" s="28">
        <v>1860</v>
      </c>
      <c r="K122" s="29">
        <v>60397</v>
      </c>
      <c r="L122" s="28">
        <v>86413</v>
      </c>
      <c r="M122" s="26" t="s">
        <v>55</v>
      </c>
      <c r="N122" s="30">
        <f t="shared" si="1"/>
        <v>0.19881267864788901</v>
      </c>
    </row>
    <row r="123">
      <c r="A123" s="25" t="s">
        <v>78</v>
      </c>
      <c r="B123" s="26" t="s">
        <v>46</v>
      </c>
      <c r="C123" s="27">
        <v>45781</v>
      </c>
      <c r="D123" s="26" t="s">
        <v>30</v>
      </c>
      <c r="E123" s="26" t="s">
        <v>553</v>
      </c>
      <c r="F123" s="26" t="s">
        <v>554</v>
      </c>
      <c r="G123" s="28">
        <v>22384</v>
      </c>
      <c r="H123" s="28">
        <v>601</v>
      </c>
      <c r="I123" s="28">
        <v>943</v>
      </c>
      <c r="J123" s="28">
        <v>515</v>
      </c>
      <c r="K123" s="29">
        <v>41309</v>
      </c>
      <c r="L123" s="28">
        <v>249373</v>
      </c>
      <c r="M123" s="26" t="s">
        <v>17</v>
      </c>
      <c r="N123" s="30">
        <f t="shared" si="1"/>
        <v>0.095952649244304702</v>
      </c>
    </row>
    <row r="124">
      <c r="A124" s="25" t="s">
        <v>438</v>
      </c>
      <c r="B124" s="26" t="s">
        <v>511</v>
      </c>
      <c r="C124" s="27">
        <v>45932</v>
      </c>
      <c r="D124" s="26" t="s">
        <v>38</v>
      </c>
      <c r="E124" s="26" t="s">
        <v>558</v>
      </c>
      <c r="F124" s="26" t="s">
        <v>559</v>
      </c>
      <c r="G124" s="28">
        <v>16309</v>
      </c>
      <c r="H124" s="28">
        <v>1449</v>
      </c>
      <c r="I124" s="28">
        <v>838</v>
      </c>
      <c r="J124" s="28">
        <v>2434</v>
      </c>
      <c r="K124" s="29">
        <v>2940</v>
      </c>
      <c r="L124" s="28">
        <v>217953</v>
      </c>
      <c r="M124" s="26" t="s">
        <v>32</v>
      </c>
      <c r="N124" s="30">
        <f t="shared" si="1"/>
        <v>0.085321147219813404</v>
      </c>
    </row>
    <row r="125">
      <c r="A125" s="25" t="s">
        <v>436</v>
      </c>
      <c r="B125" s="26" t="s">
        <v>46</v>
      </c>
      <c r="C125" s="27">
        <v>45420</v>
      </c>
      <c r="D125" s="26" t="s">
        <v>30</v>
      </c>
      <c r="E125" s="26" t="s">
        <v>562</v>
      </c>
      <c r="F125" s="26" t="s">
        <v>563</v>
      </c>
      <c r="G125" s="28">
        <v>20935</v>
      </c>
      <c r="H125" s="28">
        <v>1104</v>
      </c>
      <c r="I125" s="28">
        <v>876</v>
      </c>
      <c r="J125" s="28">
        <v>1270</v>
      </c>
      <c r="K125" s="29">
        <v>21454</v>
      </c>
      <c r="L125" s="28">
        <v>208722</v>
      </c>
      <c r="M125" s="26" t="s">
        <v>27</v>
      </c>
      <c r="N125" s="30">
        <f t="shared" si="1"/>
        <v>0.10978718103506099</v>
      </c>
    </row>
    <row r="126">
      <c r="A126" s="25" t="s">
        <v>435</v>
      </c>
      <c r="B126" s="26" t="s">
        <v>510</v>
      </c>
      <c r="C126" s="27">
        <v>45812</v>
      </c>
      <c r="D126" s="26" t="s">
        <v>38</v>
      </c>
      <c r="E126" s="26" t="s">
        <v>555</v>
      </c>
      <c r="F126" s="26" t="s">
        <v>560</v>
      </c>
      <c r="G126" s="28">
        <v>15917</v>
      </c>
      <c r="H126" s="28">
        <v>1479</v>
      </c>
      <c r="I126" s="28">
        <v>196</v>
      </c>
      <c r="J126" s="28">
        <v>313</v>
      </c>
      <c r="K126" s="29">
        <v>48524</v>
      </c>
      <c r="L126" s="28">
        <v>249684</v>
      </c>
      <c r="M126" s="26" t="s">
        <v>32</v>
      </c>
      <c r="N126" s="30">
        <f t="shared" si="1"/>
        <v>0.070457057720959296</v>
      </c>
    </row>
    <row r="127">
      <c r="A127" s="25" t="s">
        <v>434</v>
      </c>
      <c r="B127" s="26" t="s">
        <v>510</v>
      </c>
      <c r="C127" s="27">
        <v>45917</v>
      </c>
      <c r="D127" s="26" t="s">
        <v>38</v>
      </c>
      <c r="E127" s="26" t="s">
        <v>549</v>
      </c>
      <c r="F127" s="26" t="s">
        <v>550</v>
      </c>
      <c r="G127" s="28">
        <v>2117</v>
      </c>
      <c r="H127" s="28">
        <v>1133</v>
      </c>
      <c r="I127" s="28">
        <v>203</v>
      </c>
      <c r="J127" s="28">
        <v>1173</v>
      </c>
      <c r="K127" s="29">
        <v>40125</v>
      </c>
      <c r="L127" s="28">
        <v>85379</v>
      </c>
      <c r="M127" s="26" t="s">
        <v>21</v>
      </c>
      <c r="N127" s="30">
        <f t="shared" si="1"/>
        <v>0.040443200318579502</v>
      </c>
    </row>
    <row r="128">
      <c r="A128" s="25" t="s">
        <v>432</v>
      </c>
      <c r="B128" s="26" t="s">
        <v>23</v>
      </c>
      <c r="C128" s="27">
        <v>45720</v>
      </c>
      <c r="D128" s="26" t="s">
        <v>15</v>
      </c>
      <c r="E128" s="26" t="s">
        <v>551</v>
      </c>
      <c r="F128" s="26" t="s">
        <v>552</v>
      </c>
      <c r="G128" s="28">
        <v>10837</v>
      </c>
      <c r="H128" s="28">
        <v>1004</v>
      </c>
      <c r="I128" s="28">
        <v>922</v>
      </c>
      <c r="J128" s="28">
        <v>1108</v>
      </c>
      <c r="K128" s="29">
        <v>36807</v>
      </c>
      <c r="L128" s="28">
        <v>150350</v>
      </c>
      <c r="M128" s="26" t="s">
        <v>27</v>
      </c>
      <c r="N128" s="30">
        <f t="shared" si="1"/>
        <v>0.084888593282341204</v>
      </c>
    </row>
    <row r="129" ht="14.4">
      <c r="A129" s="25" t="s">
        <v>430</v>
      </c>
      <c r="B129" s="26" t="s">
        <v>23</v>
      </c>
      <c r="C129" s="27">
        <v>45671</v>
      </c>
      <c r="D129" s="26" t="s">
        <v>38</v>
      </c>
      <c r="E129" s="26" t="s">
        <v>555</v>
      </c>
      <c r="F129" s="26" t="s">
        <v>560</v>
      </c>
      <c r="G129" s="28">
        <v>24350</v>
      </c>
      <c r="H129" s="28">
        <v>460</v>
      </c>
      <c r="I129" s="28">
        <v>666</v>
      </c>
      <c r="J129" s="28">
        <v>814</v>
      </c>
      <c r="K129" s="29">
        <v>21120</v>
      </c>
      <c r="L129" s="28">
        <v>76914</v>
      </c>
      <c r="M129" s="26" t="s">
        <v>17</v>
      </c>
      <c r="N129" s="30">
        <f t="shared" si="1"/>
        <v>0.33122708479600599</v>
      </c>
    </row>
    <row r="130" ht="14.4">
      <c r="A130" s="25" t="s">
        <v>429</v>
      </c>
      <c r="B130" s="26" t="s">
        <v>511</v>
      </c>
      <c r="C130" s="27">
        <v>45916</v>
      </c>
      <c r="D130" s="26" t="s">
        <v>15</v>
      </c>
      <c r="E130" s="26" t="s">
        <v>85</v>
      </c>
      <c r="F130" s="26" t="s">
        <v>561</v>
      </c>
      <c r="G130" s="28">
        <v>16043</v>
      </c>
      <c r="H130" s="28">
        <v>595</v>
      </c>
      <c r="I130" s="28">
        <v>923</v>
      </c>
      <c r="J130" s="28">
        <v>1194</v>
      </c>
      <c r="K130" s="29">
        <v>52613</v>
      </c>
      <c r="L130" s="28">
        <v>179978</v>
      </c>
      <c r="M130" s="26" t="s">
        <v>21</v>
      </c>
      <c r="N130" s="30">
        <f t="shared" ref="N130:N193" si="2">(G130+H130+I130)/L130</f>
        <v>0.097573036704486096</v>
      </c>
    </row>
    <row r="131" ht="14.4">
      <c r="A131" s="25" t="s">
        <v>428</v>
      </c>
      <c r="B131" s="26" t="s">
        <v>23</v>
      </c>
      <c r="C131" s="27">
        <v>45775</v>
      </c>
      <c r="D131" s="26" t="s">
        <v>38</v>
      </c>
      <c r="E131" s="26" t="s">
        <v>555</v>
      </c>
      <c r="F131" s="26" t="s">
        <v>560</v>
      </c>
      <c r="G131" s="28">
        <v>10659</v>
      </c>
      <c r="H131" s="28">
        <v>1342</v>
      </c>
      <c r="I131" s="28">
        <v>408</v>
      </c>
      <c r="J131" s="28">
        <v>709</v>
      </c>
      <c r="K131" s="29">
        <v>16309</v>
      </c>
      <c r="L131" s="28">
        <v>168803</v>
      </c>
      <c r="M131" s="26" t="s">
        <v>27</v>
      </c>
      <c r="N131" s="30">
        <f t="shared" si="2"/>
        <v>0.073511726687321893</v>
      </c>
    </row>
    <row r="132" ht="14.4">
      <c r="A132" s="25" t="s">
        <v>427</v>
      </c>
      <c r="B132" s="26" t="s">
        <v>46</v>
      </c>
      <c r="C132" s="27">
        <v>45915</v>
      </c>
      <c r="D132" s="26" t="s">
        <v>15</v>
      </c>
      <c r="E132" s="26" t="s">
        <v>549</v>
      </c>
      <c r="F132" s="26" t="s">
        <v>550</v>
      </c>
      <c r="G132" s="28">
        <v>18389</v>
      </c>
      <c r="H132" s="28">
        <v>670</v>
      </c>
      <c r="I132" s="28">
        <v>655</v>
      </c>
      <c r="J132" s="28">
        <v>321</v>
      </c>
      <c r="K132" s="29">
        <v>21869</v>
      </c>
      <c r="L132" s="28">
        <v>96088</v>
      </c>
      <c r="M132" s="26" t="s">
        <v>21</v>
      </c>
      <c r="N132" s="30">
        <f t="shared" si="2"/>
        <v>0.20516609774373501</v>
      </c>
    </row>
    <row r="133" ht="14.4">
      <c r="A133" s="25" t="s">
        <v>426</v>
      </c>
      <c r="B133" s="26" t="s">
        <v>510</v>
      </c>
      <c r="C133" s="27">
        <v>45465</v>
      </c>
      <c r="D133" s="26" t="s">
        <v>25</v>
      </c>
      <c r="E133" s="26" t="s">
        <v>553</v>
      </c>
      <c r="F133" s="26" t="s">
        <v>554</v>
      </c>
      <c r="G133" s="28">
        <v>7342</v>
      </c>
      <c r="H133" s="28">
        <v>906</v>
      </c>
      <c r="I133" s="28">
        <v>902</v>
      </c>
      <c r="J133" s="28">
        <v>1199</v>
      </c>
      <c r="K133" s="29">
        <v>68488</v>
      </c>
      <c r="L133" s="28">
        <v>79310</v>
      </c>
      <c r="M133" s="26" t="s">
        <v>17</v>
      </c>
      <c r="N133" s="30">
        <f t="shared" si="2"/>
        <v>0.115370066826378</v>
      </c>
    </row>
    <row r="134" ht="14.4">
      <c r="A134" s="25" t="s">
        <v>77</v>
      </c>
      <c r="B134" s="26" t="s">
        <v>511</v>
      </c>
      <c r="C134" s="27">
        <v>45909</v>
      </c>
      <c r="D134" s="26" t="s">
        <v>30</v>
      </c>
      <c r="E134" s="26" t="s">
        <v>553</v>
      </c>
      <c r="F134" s="26" t="s">
        <v>554</v>
      </c>
      <c r="G134" s="28">
        <v>15772</v>
      </c>
      <c r="H134" s="28">
        <v>288</v>
      </c>
      <c r="I134" s="28">
        <v>520</v>
      </c>
      <c r="J134" s="28">
        <v>1585</v>
      </c>
      <c r="K134" s="29">
        <v>59182</v>
      </c>
      <c r="L134" s="28">
        <v>194351</v>
      </c>
      <c r="M134" s="26" t="s">
        <v>21</v>
      </c>
      <c r="N134" s="30">
        <f t="shared" si="2"/>
        <v>0.085309568769906002</v>
      </c>
    </row>
    <row r="135" ht="14.4">
      <c r="A135" s="25" t="s">
        <v>424</v>
      </c>
      <c r="B135" s="26" t="s">
        <v>23</v>
      </c>
      <c r="C135" s="27">
        <v>45491</v>
      </c>
      <c r="D135" s="26" t="s">
        <v>30</v>
      </c>
      <c r="E135" s="26" t="s">
        <v>85</v>
      </c>
      <c r="F135" s="26" t="s">
        <v>561</v>
      </c>
      <c r="G135" s="28">
        <v>11111</v>
      </c>
      <c r="H135" s="28">
        <v>1222</v>
      </c>
      <c r="I135" s="28">
        <v>367</v>
      </c>
      <c r="J135" s="28">
        <v>507</v>
      </c>
      <c r="K135" s="29">
        <v>14129</v>
      </c>
      <c r="L135" s="28">
        <v>127163</v>
      </c>
      <c r="M135" s="26" t="s">
        <v>55</v>
      </c>
      <c r="N135" s="30">
        <f t="shared" si="2"/>
        <v>0.099871818060284806</v>
      </c>
    </row>
    <row r="136" ht="14.4">
      <c r="A136" s="25" t="s">
        <v>423</v>
      </c>
      <c r="B136" s="26" t="s">
        <v>23</v>
      </c>
      <c r="C136" s="27">
        <v>45914</v>
      </c>
      <c r="D136" s="26" t="s">
        <v>38</v>
      </c>
      <c r="E136" s="26" t="s">
        <v>555</v>
      </c>
      <c r="F136" s="26" t="s">
        <v>560</v>
      </c>
      <c r="G136" s="28">
        <v>12787</v>
      </c>
      <c r="H136" s="28">
        <v>945</v>
      </c>
      <c r="I136" s="28">
        <v>974</v>
      </c>
      <c r="J136" s="28">
        <v>1407</v>
      </c>
      <c r="K136" s="29">
        <v>4037</v>
      </c>
      <c r="L136" s="28">
        <v>99182</v>
      </c>
      <c r="M136" s="26" t="s">
        <v>21</v>
      </c>
      <c r="N136" s="30">
        <f t="shared" si="2"/>
        <v>0.148272872093727</v>
      </c>
    </row>
    <row r="137" ht="14.4">
      <c r="A137" s="25" t="s">
        <v>421</v>
      </c>
      <c r="B137" s="26" t="s">
        <v>23</v>
      </c>
      <c r="C137" s="27">
        <v>45531</v>
      </c>
      <c r="D137" s="26" t="s">
        <v>15</v>
      </c>
      <c r="E137" s="26" t="s">
        <v>85</v>
      </c>
      <c r="F137" s="26" t="s">
        <v>561</v>
      </c>
      <c r="G137" s="28">
        <v>6324</v>
      </c>
      <c r="H137" s="28">
        <v>908</v>
      </c>
      <c r="I137" s="28">
        <v>375</v>
      </c>
      <c r="J137" s="28">
        <v>758</v>
      </c>
      <c r="K137" s="29">
        <v>34850</v>
      </c>
      <c r="L137" s="28">
        <v>241039</v>
      </c>
      <c r="M137" s="26" t="s">
        <v>17</v>
      </c>
      <c r="N137" s="30">
        <f t="shared" si="2"/>
        <v>0.031559208260903797</v>
      </c>
    </row>
    <row r="138" ht="14.4">
      <c r="A138" s="25" t="s">
        <v>419</v>
      </c>
      <c r="B138" s="26" t="s">
        <v>46</v>
      </c>
      <c r="C138" s="27">
        <v>45606</v>
      </c>
      <c r="D138" s="26" t="s">
        <v>38</v>
      </c>
      <c r="E138" s="26" t="s">
        <v>557</v>
      </c>
      <c r="F138" s="26" t="s">
        <v>555</v>
      </c>
      <c r="G138" s="28">
        <v>19447</v>
      </c>
      <c r="H138" s="28">
        <v>1014</v>
      </c>
      <c r="I138" s="28">
        <v>256</v>
      </c>
      <c r="J138" s="28">
        <v>2354</v>
      </c>
      <c r="K138" s="29">
        <v>5472</v>
      </c>
      <c r="L138" s="28">
        <v>104106</v>
      </c>
      <c r="M138" s="26" t="s">
        <v>17</v>
      </c>
      <c r="N138" s="30">
        <f t="shared" si="2"/>
        <v>0.19899909707413599</v>
      </c>
    </row>
    <row r="139" ht="14.4">
      <c r="A139" s="25" t="s">
        <v>417</v>
      </c>
      <c r="B139" s="26" t="s">
        <v>510</v>
      </c>
      <c r="C139" s="27">
        <v>45992</v>
      </c>
      <c r="D139" s="26" t="s">
        <v>15</v>
      </c>
      <c r="E139" s="26" t="s">
        <v>555</v>
      </c>
      <c r="F139" s="26" t="s">
        <v>556</v>
      </c>
      <c r="G139" s="28">
        <v>4590</v>
      </c>
      <c r="H139" s="28">
        <v>713</v>
      </c>
      <c r="I139" s="28">
        <v>479</v>
      </c>
      <c r="J139" s="28">
        <v>2730</v>
      </c>
      <c r="K139" s="29">
        <v>41050</v>
      </c>
      <c r="L139" s="28">
        <v>204246</v>
      </c>
      <c r="M139" s="26" t="s">
        <v>27</v>
      </c>
      <c r="N139" s="30">
        <f t="shared" si="2"/>
        <v>0.028308999931455199</v>
      </c>
    </row>
    <row r="140" ht="14.4">
      <c r="A140" s="25" t="s">
        <v>416</v>
      </c>
      <c r="B140" s="26" t="s">
        <v>23</v>
      </c>
      <c r="C140" s="27">
        <v>45913</v>
      </c>
      <c r="D140" s="26" t="s">
        <v>30</v>
      </c>
      <c r="E140" s="26" t="s">
        <v>566</v>
      </c>
      <c r="F140" s="26" t="s">
        <v>35</v>
      </c>
      <c r="G140" s="28">
        <v>15046</v>
      </c>
      <c r="H140" s="28">
        <v>281</v>
      </c>
      <c r="I140" s="28">
        <v>515</v>
      </c>
      <c r="J140" s="28">
        <v>550</v>
      </c>
      <c r="K140" s="29">
        <v>22583</v>
      </c>
      <c r="L140" s="28">
        <v>64596</v>
      </c>
      <c r="M140" s="26" t="s">
        <v>21</v>
      </c>
      <c r="N140" s="30">
        <f t="shared" si="2"/>
        <v>0.24524738373893101</v>
      </c>
    </row>
    <row r="141" ht="14.4">
      <c r="A141" s="25" t="s">
        <v>414</v>
      </c>
      <c r="B141" s="26" t="s">
        <v>511</v>
      </c>
      <c r="C141" s="27">
        <v>45811</v>
      </c>
      <c r="D141" s="26" t="s">
        <v>25</v>
      </c>
      <c r="E141" s="26" t="s">
        <v>557</v>
      </c>
      <c r="F141" s="26" t="s">
        <v>555</v>
      </c>
      <c r="G141" s="28">
        <v>22119</v>
      </c>
      <c r="H141" s="28">
        <v>899</v>
      </c>
      <c r="I141" s="28">
        <v>642</v>
      </c>
      <c r="J141" s="28">
        <v>410</v>
      </c>
      <c r="K141" s="29">
        <v>49490</v>
      </c>
      <c r="L141" s="28">
        <v>229420</v>
      </c>
      <c r="M141" s="26" t="s">
        <v>32</v>
      </c>
      <c r="N141" s="30">
        <f t="shared" si="2"/>
        <v>0.10312963124400699</v>
      </c>
    </row>
    <row r="142" ht="14.4">
      <c r="A142" s="25" t="s">
        <v>413</v>
      </c>
      <c r="B142" s="26" t="s">
        <v>510</v>
      </c>
      <c r="C142" s="27">
        <v>46000</v>
      </c>
      <c r="D142" s="26" t="s">
        <v>30</v>
      </c>
      <c r="E142" s="26" t="s">
        <v>549</v>
      </c>
      <c r="F142" s="26" t="s">
        <v>550</v>
      </c>
      <c r="G142" s="28">
        <v>15918</v>
      </c>
      <c r="H142" s="28">
        <v>1114</v>
      </c>
      <c r="I142" s="28">
        <v>392</v>
      </c>
      <c r="J142" s="28">
        <v>1641</v>
      </c>
      <c r="K142" s="29">
        <v>28044</v>
      </c>
      <c r="L142" s="28">
        <v>118714</v>
      </c>
      <c r="M142" s="26" t="s">
        <v>21</v>
      </c>
      <c r="N142" s="30">
        <f t="shared" si="2"/>
        <v>0.14677291642097801</v>
      </c>
    </row>
    <row r="143" ht="14.4">
      <c r="A143" s="25" t="s">
        <v>411</v>
      </c>
      <c r="B143" s="26" t="s">
        <v>46</v>
      </c>
      <c r="C143" s="27">
        <v>45675</v>
      </c>
      <c r="D143" s="26" t="s">
        <v>25</v>
      </c>
      <c r="E143" s="26" t="s">
        <v>566</v>
      </c>
      <c r="F143" s="26" t="s">
        <v>35</v>
      </c>
      <c r="G143" s="28">
        <v>12589</v>
      </c>
      <c r="H143" s="28">
        <v>346</v>
      </c>
      <c r="I143" s="28">
        <v>459</v>
      </c>
      <c r="J143" s="28">
        <v>1407</v>
      </c>
      <c r="K143" s="29">
        <v>29254</v>
      </c>
      <c r="L143" s="28">
        <v>198059</v>
      </c>
      <c r="M143" s="26" t="s">
        <v>27</v>
      </c>
      <c r="N143" s="30">
        <f t="shared" si="2"/>
        <v>0.067626313371268204</v>
      </c>
    </row>
    <row r="144" ht="14.4">
      <c r="A144" s="25" t="s">
        <v>410</v>
      </c>
      <c r="B144" s="26" t="s">
        <v>511</v>
      </c>
      <c r="C144" s="27">
        <v>45970</v>
      </c>
      <c r="D144" s="26" t="s">
        <v>30</v>
      </c>
      <c r="E144" s="26" t="s">
        <v>549</v>
      </c>
      <c r="F144" s="26" t="s">
        <v>550</v>
      </c>
      <c r="G144" s="28">
        <v>21901</v>
      </c>
      <c r="H144" s="28">
        <v>1308</v>
      </c>
      <c r="I144" s="28">
        <v>724</v>
      </c>
      <c r="J144" s="28">
        <v>2183</v>
      </c>
      <c r="K144" s="29">
        <v>15996</v>
      </c>
      <c r="L144" s="28">
        <v>230961</v>
      </c>
      <c r="M144" s="26" t="s">
        <v>21</v>
      </c>
      <c r="N144" s="30">
        <f t="shared" si="2"/>
        <v>0.103623555492053</v>
      </c>
    </row>
    <row r="145" ht="14.4">
      <c r="A145" s="25" t="s">
        <v>75</v>
      </c>
      <c r="B145" s="26" t="s">
        <v>511</v>
      </c>
      <c r="C145" s="27">
        <v>45680</v>
      </c>
      <c r="D145" s="26" t="s">
        <v>30</v>
      </c>
      <c r="E145" s="26" t="s">
        <v>557</v>
      </c>
      <c r="F145" s="26" t="s">
        <v>555</v>
      </c>
      <c r="G145" s="28">
        <v>23168</v>
      </c>
      <c r="H145" s="28">
        <v>1265</v>
      </c>
      <c r="I145" s="28">
        <v>441</v>
      </c>
      <c r="J145" s="28">
        <v>1612</v>
      </c>
      <c r="K145" s="29">
        <v>66615</v>
      </c>
      <c r="L145" s="28">
        <v>197795</v>
      </c>
      <c r="M145" s="26" t="s">
        <v>32</v>
      </c>
      <c r="N145" s="30">
        <f t="shared" si="2"/>
        <v>0.125756465026922</v>
      </c>
    </row>
    <row r="146" ht="14.4">
      <c r="A146" s="25" t="s">
        <v>409</v>
      </c>
      <c r="B146" s="26" t="s">
        <v>510</v>
      </c>
      <c r="C146" s="27">
        <v>45939</v>
      </c>
      <c r="D146" s="26" t="s">
        <v>15</v>
      </c>
      <c r="E146" s="26" t="s">
        <v>558</v>
      </c>
      <c r="F146" s="26" t="s">
        <v>559</v>
      </c>
      <c r="G146" s="28">
        <v>13613</v>
      </c>
      <c r="H146" s="28">
        <v>350</v>
      </c>
      <c r="I146" s="28">
        <v>809</v>
      </c>
      <c r="J146" s="28">
        <v>2013</v>
      </c>
      <c r="K146" s="29">
        <v>20471</v>
      </c>
      <c r="L146" s="28">
        <v>198038</v>
      </c>
      <c r="M146" s="26" t="s">
        <v>21</v>
      </c>
      <c r="N146" s="30">
        <f t="shared" si="2"/>
        <v>0.074591745018632805</v>
      </c>
    </row>
    <row r="147" ht="14.4">
      <c r="A147" s="25" t="s">
        <v>407</v>
      </c>
      <c r="B147" s="26" t="s">
        <v>46</v>
      </c>
      <c r="C147" s="27">
        <v>45489</v>
      </c>
      <c r="D147" s="26" t="s">
        <v>25</v>
      </c>
      <c r="E147" s="26" t="s">
        <v>557</v>
      </c>
      <c r="F147" s="26" t="s">
        <v>555</v>
      </c>
      <c r="G147" s="28">
        <v>8767</v>
      </c>
      <c r="H147" s="28">
        <v>974</v>
      </c>
      <c r="I147" s="28">
        <v>733</v>
      </c>
      <c r="J147" s="28">
        <v>1587</v>
      </c>
      <c r="K147" s="29">
        <v>74927</v>
      </c>
      <c r="L147" s="28">
        <v>113770</v>
      </c>
      <c r="M147" s="26" t="s">
        <v>17</v>
      </c>
      <c r="N147" s="30">
        <f t="shared" si="2"/>
        <v>0.092062933989628198</v>
      </c>
    </row>
    <row r="148" ht="14.4">
      <c r="A148" s="25" t="s">
        <v>406</v>
      </c>
      <c r="B148" s="26" t="s">
        <v>46</v>
      </c>
      <c r="C148" s="27">
        <v>45587</v>
      </c>
      <c r="D148" s="26" t="s">
        <v>38</v>
      </c>
      <c r="E148" s="26" t="s">
        <v>564</v>
      </c>
      <c r="F148" s="26" t="s">
        <v>565</v>
      </c>
      <c r="G148" s="28">
        <v>7622</v>
      </c>
      <c r="H148" s="28">
        <v>529</v>
      </c>
      <c r="I148" s="28">
        <v>720</v>
      </c>
      <c r="J148" s="28">
        <v>1015</v>
      </c>
      <c r="K148" s="29">
        <v>71322</v>
      </c>
      <c r="L148" s="28">
        <v>86819</v>
      </c>
      <c r="M148" s="26" t="s">
        <v>55</v>
      </c>
      <c r="N148" s="30">
        <f t="shared" si="2"/>
        <v>0.1021780946567</v>
      </c>
    </row>
    <row r="149" ht="14.4">
      <c r="A149" s="25" t="s">
        <v>405</v>
      </c>
      <c r="B149" s="26" t="s">
        <v>511</v>
      </c>
      <c r="C149" s="27">
        <v>45523</v>
      </c>
      <c r="D149" s="26" t="s">
        <v>30</v>
      </c>
      <c r="E149" s="26" t="s">
        <v>566</v>
      </c>
      <c r="F149" s="26" t="s">
        <v>35</v>
      </c>
      <c r="G149" s="28">
        <v>3605</v>
      </c>
      <c r="H149" s="28">
        <v>206</v>
      </c>
      <c r="I149" s="28">
        <v>921</v>
      </c>
      <c r="J149" s="28">
        <v>852</v>
      </c>
      <c r="K149" s="29">
        <v>11660</v>
      </c>
      <c r="L149" s="28">
        <v>182635</v>
      </c>
      <c r="M149" s="26" t="s">
        <v>32</v>
      </c>
      <c r="N149" s="30">
        <f t="shared" si="2"/>
        <v>0.025909601116982001</v>
      </c>
    </row>
    <row r="150" ht="14.4">
      <c r="A150" s="25" t="s">
        <v>404</v>
      </c>
      <c r="B150" s="26" t="s">
        <v>511</v>
      </c>
      <c r="C150" s="27">
        <v>45648</v>
      </c>
      <c r="D150" s="26" t="s">
        <v>25</v>
      </c>
      <c r="E150" s="26" t="s">
        <v>555</v>
      </c>
      <c r="F150" s="26" t="s">
        <v>556</v>
      </c>
      <c r="G150" s="28">
        <v>20117</v>
      </c>
      <c r="H150" s="28">
        <v>1143</v>
      </c>
      <c r="I150" s="28">
        <v>713</v>
      </c>
      <c r="J150" s="28">
        <v>1739</v>
      </c>
      <c r="K150" s="29">
        <v>34444</v>
      </c>
      <c r="L150" s="28">
        <v>198670</v>
      </c>
      <c r="M150" s="26" t="s">
        <v>55</v>
      </c>
      <c r="N150" s="30">
        <f t="shared" si="2"/>
        <v>0.110600493280314</v>
      </c>
    </row>
    <row r="151" ht="14.4">
      <c r="A151" s="25" t="s">
        <v>402</v>
      </c>
      <c r="B151" s="26" t="s">
        <v>511</v>
      </c>
      <c r="C151" s="27">
        <v>45297</v>
      </c>
      <c r="D151" s="26" t="s">
        <v>15</v>
      </c>
      <c r="E151" s="26" t="s">
        <v>549</v>
      </c>
      <c r="F151" s="26" t="s">
        <v>550</v>
      </c>
      <c r="G151" s="28">
        <v>19844</v>
      </c>
      <c r="H151" s="28">
        <v>1022</v>
      </c>
      <c r="I151" s="28">
        <v>860</v>
      </c>
      <c r="J151" s="28">
        <v>2570</v>
      </c>
      <c r="K151" s="29">
        <v>23719</v>
      </c>
      <c r="L151" s="28">
        <v>182628</v>
      </c>
      <c r="M151" s="26" t="s">
        <v>27</v>
      </c>
      <c r="N151" s="30">
        <f t="shared" si="2"/>
        <v>0.118963138182535</v>
      </c>
    </row>
    <row r="152" ht="14.4">
      <c r="A152" s="25" t="s">
        <v>401</v>
      </c>
      <c r="B152" s="26" t="s">
        <v>511</v>
      </c>
      <c r="C152" s="27">
        <v>45872</v>
      </c>
      <c r="D152" s="26" t="s">
        <v>15</v>
      </c>
      <c r="E152" s="26" t="s">
        <v>562</v>
      </c>
      <c r="F152" s="26" t="s">
        <v>563</v>
      </c>
      <c r="G152" s="28">
        <v>5812</v>
      </c>
      <c r="H152" s="28">
        <v>934</v>
      </c>
      <c r="I152" s="28">
        <v>302</v>
      </c>
      <c r="J152" s="28">
        <v>2356</v>
      </c>
      <c r="K152" s="29">
        <v>37437</v>
      </c>
      <c r="L152" s="28">
        <v>93551</v>
      </c>
      <c r="M152" s="26" t="s">
        <v>17</v>
      </c>
      <c r="N152" s="30">
        <f t="shared" si="2"/>
        <v>0.075338585370546607</v>
      </c>
    </row>
    <row r="153" ht="14.4">
      <c r="A153" s="25" t="s">
        <v>399</v>
      </c>
      <c r="B153" s="26" t="s">
        <v>511</v>
      </c>
      <c r="C153" s="27">
        <v>45776</v>
      </c>
      <c r="D153" s="26" t="s">
        <v>38</v>
      </c>
      <c r="E153" s="26" t="s">
        <v>553</v>
      </c>
      <c r="F153" s="26" t="s">
        <v>554</v>
      </c>
      <c r="G153" s="28">
        <v>16277</v>
      </c>
      <c r="H153" s="28">
        <v>1109</v>
      </c>
      <c r="I153" s="28">
        <v>375</v>
      </c>
      <c r="J153" s="28">
        <v>2225</v>
      </c>
      <c r="K153" s="29">
        <v>1044</v>
      </c>
      <c r="L153" s="28">
        <v>121889</v>
      </c>
      <c r="M153" s="26" t="s">
        <v>32</v>
      </c>
      <c r="N153" s="30">
        <f t="shared" si="2"/>
        <v>0.145714543560124</v>
      </c>
    </row>
    <row r="154" ht="14.4">
      <c r="A154" s="25" t="s">
        <v>398</v>
      </c>
      <c r="B154" s="26" t="s">
        <v>46</v>
      </c>
      <c r="C154" s="27">
        <v>45909</v>
      </c>
      <c r="D154" s="26" t="s">
        <v>15</v>
      </c>
      <c r="E154" s="26" t="s">
        <v>549</v>
      </c>
      <c r="F154" s="26" t="s">
        <v>550</v>
      </c>
      <c r="G154" s="28">
        <v>19260</v>
      </c>
      <c r="H154" s="28">
        <v>668</v>
      </c>
      <c r="I154" s="28">
        <v>994</v>
      </c>
      <c r="J154" s="28">
        <v>934</v>
      </c>
      <c r="K154" s="29">
        <v>20509</v>
      </c>
      <c r="L154" s="28">
        <v>61636</v>
      </c>
      <c r="M154" s="26" t="s">
        <v>21</v>
      </c>
      <c r="N154" s="30">
        <f t="shared" si="2"/>
        <v>0.33944448049840997</v>
      </c>
    </row>
    <row r="155" ht="14.4">
      <c r="A155" s="25" t="s">
        <v>397</v>
      </c>
      <c r="B155" s="26" t="s">
        <v>23</v>
      </c>
      <c r="C155" s="27">
        <v>45488</v>
      </c>
      <c r="D155" s="26" t="s">
        <v>30</v>
      </c>
      <c r="E155" s="26" t="s">
        <v>35</v>
      </c>
      <c r="F155" s="26" t="s">
        <v>561</v>
      </c>
      <c r="G155" s="28">
        <v>12554</v>
      </c>
      <c r="H155" s="28">
        <v>381</v>
      </c>
      <c r="I155" s="28">
        <v>211</v>
      </c>
      <c r="J155" s="28">
        <v>2286</v>
      </c>
      <c r="K155" s="29">
        <v>50567</v>
      </c>
      <c r="L155" s="28">
        <v>72779</v>
      </c>
      <c r="M155" s="26" t="s">
        <v>17</v>
      </c>
      <c r="N155" s="30">
        <f t="shared" si="2"/>
        <v>0.180629027604117</v>
      </c>
    </row>
    <row r="156" ht="14.4">
      <c r="A156" s="25" t="s">
        <v>73</v>
      </c>
      <c r="B156" s="26" t="s">
        <v>46</v>
      </c>
      <c r="C156" s="27">
        <v>45454</v>
      </c>
      <c r="D156" s="26" t="s">
        <v>38</v>
      </c>
      <c r="E156" s="26" t="s">
        <v>555</v>
      </c>
      <c r="F156" s="26" t="s">
        <v>560</v>
      </c>
      <c r="G156" s="28">
        <v>8938</v>
      </c>
      <c r="H156" s="28">
        <v>800</v>
      </c>
      <c r="I156" s="28">
        <v>842</v>
      </c>
      <c r="J156" s="28">
        <v>2072</v>
      </c>
      <c r="K156" s="29">
        <v>31736</v>
      </c>
      <c r="L156" s="28">
        <v>59975</v>
      </c>
      <c r="M156" s="26" t="s">
        <v>32</v>
      </c>
      <c r="N156" s="30">
        <f t="shared" si="2"/>
        <v>0.17640683618174199</v>
      </c>
    </row>
    <row r="157" ht="14.4">
      <c r="A157" s="25" t="s">
        <v>396</v>
      </c>
      <c r="B157" s="26" t="s">
        <v>23</v>
      </c>
      <c r="C157" s="27">
        <v>45358</v>
      </c>
      <c r="D157" s="26" t="s">
        <v>30</v>
      </c>
      <c r="E157" s="26" t="s">
        <v>558</v>
      </c>
      <c r="F157" s="26" t="s">
        <v>559</v>
      </c>
      <c r="G157" s="28">
        <v>12167</v>
      </c>
      <c r="H157" s="28">
        <v>364</v>
      </c>
      <c r="I157" s="28">
        <v>160</v>
      </c>
      <c r="J157" s="28">
        <v>616</v>
      </c>
      <c r="K157" s="29">
        <v>42228</v>
      </c>
      <c r="L157" s="28">
        <v>175832</v>
      </c>
      <c r="M157" s="26" t="s">
        <v>27</v>
      </c>
      <c r="N157" s="30">
        <f t="shared" si="2"/>
        <v>0.072176850630147005</v>
      </c>
    </row>
    <row r="158" ht="14.4">
      <c r="A158" s="25" t="s">
        <v>394</v>
      </c>
      <c r="B158" s="26" t="s">
        <v>46</v>
      </c>
      <c r="C158" s="27">
        <v>45298</v>
      </c>
      <c r="D158" s="26" t="s">
        <v>30</v>
      </c>
      <c r="E158" s="26" t="s">
        <v>564</v>
      </c>
      <c r="F158" s="26" t="s">
        <v>565</v>
      </c>
      <c r="G158" s="28">
        <v>3761</v>
      </c>
      <c r="H158" s="28">
        <v>651</v>
      </c>
      <c r="I158" s="28">
        <v>493</v>
      </c>
      <c r="J158" s="28">
        <v>2294</v>
      </c>
      <c r="K158" s="29">
        <v>71696</v>
      </c>
      <c r="L158" s="28">
        <v>41177</v>
      </c>
      <c r="M158" s="26" t="s">
        <v>17</v>
      </c>
      <c r="N158" s="30">
        <f t="shared" si="2"/>
        <v>0.11911989702989501</v>
      </c>
    </row>
    <row r="159" ht="14.4">
      <c r="A159" s="25" t="s">
        <v>392</v>
      </c>
      <c r="B159" s="26" t="s">
        <v>23</v>
      </c>
      <c r="C159" s="27">
        <v>45632</v>
      </c>
      <c r="D159" s="26" t="s">
        <v>25</v>
      </c>
      <c r="E159" s="26" t="s">
        <v>558</v>
      </c>
      <c r="F159" s="26" t="s">
        <v>559</v>
      </c>
      <c r="G159" s="28">
        <v>17679</v>
      </c>
      <c r="H159" s="28">
        <v>690</v>
      </c>
      <c r="I159" s="28">
        <v>451</v>
      </c>
      <c r="J159" s="28">
        <v>2195</v>
      </c>
      <c r="K159" s="29">
        <v>4390</v>
      </c>
      <c r="L159" s="28">
        <v>235804</v>
      </c>
      <c r="M159" s="26" t="s">
        <v>55</v>
      </c>
      <c r="N159" s="30">
        <f t="shared" si="2"/>
        <v>0.079812047293515001</v>
      </c>
    </row>
    <row r="160" ht="14.4">
      <c r="A160" s="25" t="s">
        <v>391</v>
      </c>
      <c r="B160" s="26" t="s">
        <v>46</v>
      </c>
      <c r="C160" s="27">
        <v>45878</v>
      </c>
      <c r="D160" s="26" t="s">
        <v>25</v>
      </c>
      <c r="E160" s="26" t="s">
        <v>553</v>
      </c>
      <c r="F160" s="26" t="s">
        <v>554</v>
      </c>
      <c r="G160" s="28">
        <v>23785</v>
      </c>
      <c r="H160" s="28">
        <v>1013</v>
      </c>
      <c r="I160" s="28">
        <v>468</v>
      </c>
      <c r="J160" s="28">
        <v>1628</v>
      </c>
      <c r="K160" s="29">
        <v>8272</v>
      </c>
      <c r="L160" s="28">
        <v>71348</v>
      </c>
      <c r="M160" s="26" t="s">
        <v>21</v>
      </c>
      <c r="N160" s="30">
        <f t="shared" si="2"/>
        <v>0.35412345125301298</v>
      </c>
    </row>
    <row r="161" ht="14.4">
      <c r="A161" s="25" t="s">
        <v>389</v>
      </c>
      <c r="B161" s="26" t="s">
        <v>46</v>
      </c>
      <c r="C161" s="27">
        <v>45463</v>
      </c>
      <c r="D161" s="26" t="s">
        <v>30</v>
      </c>
      <c r="E161" s="26" t="s">
        <v>553</v>
      </c>
      <c r="F161" s="26" t="s">
        <v>554</v>
      </c>
      <c r="G161" s="28">
        <v>21123</v>
      </c>
      <c r="H161" s="28">
        <v>1343</v>
      </c>
      <c r="I161" s="28">
        <v>589</v>
      </c>
      <c r="J161" s="28">
        <v>727</v>
      </c>
      <c r="K161" s="29">
        <v>87833</v>
      </c>
      <c r="L161" s="28">
        <v>206703</v>
      </c>
      <c r="M161" s="26" t="s">
        <v>17</v>
      </c>
      <c r="N161" s="30">
        <f t="shared" si="2"/>
        <v>0.111536842716361</v>
      </c>
    </row>
    <row r="162" ht="14.4">
      <c r="A162" s="25" t="s">
        <v>388</v>
      </c>
      <c r="B162" s="26" t="s">
        <v>511</v>
      </c>
      <c r="C162" s="27">
        <v>45847</v>
      </c>
      <c r="D162" s="26" t="s">
        <v>25</v>
      </c>
      <c r="E162" s="26" t="s">
        <v>551</v>
      </c>
      <c r="F162" s="26" t="s">
        <v>552</v>
      </c>
      <c r="G162" s="28">
        <v>4472</v>
      </c>
      <c r="H162" s="28">
        <v>1301</v>
      </c>
      <c r="I162" s="28">
        <v>956</v>
      </c>
      <c r="J162" s="28">
        <v>1186</v>
      </c>
      <c r="K162" s="29">
        <v>3363</v>
      </c>
      <c r="L162" s="28">
        <v>46471</v>
      </c>
      <c r="M162" s="26" t="s">
        <v>21</v>
      </c>
      <c r="N162" s="30">
        <f t="shared" si="2"/>
        <v>0.14479998278496301</v>
      </c>
    </row>
    <row r="163" ht="14.4">
      <c r="A163" s="25" t="s">
        <v>387</v>
      </c>
      <c r="B163" s="26" t="s">
        <v>46</v>
      </c>
      <c r="C163" s="27">
        <v>45637</v>
      </c>
      <c r="D163" s="26" t="s">
        <v>30</v>
      </c>
      <c r="E163" s="26" t="s">
        <v>564</v>
      </c>
      <c r="F163" s="26" t="s">
        <v>565</v>
      </c>
      <c r="G163" s="28">
        <v>17913</v>
      </c>
      <c r="H163" s="28">
        <v>1311</v>
      </c>
      <c r="I163" s="28">
        <v>859</v>
      </c>
      <c r="J163" s="28">
        <v>405</v>
      </c>
      <c r="K163" s="29">
        <v>59842</v>
      </c>
      <c r="L163" s="28">
        <v>62612</v>
      </c>
      <c r="M163" s="26" t="s">
        <v>27</v>
      </c>
      <c r="N163" s="30">
        <f t="shared" si="2"/>
        <v>0.32075321024723702</v>
      </c>
    </row>
    <row r="164" ht="14.4">
      <c r="A164" s="25" t="s">
        <v>385</v>
      </c>
      <c r="B164" s="26" t="s">
        <v>510</v>
      </c>
      <c r="C164" s="27">
        <v>45514</v>
      </c>
      <c r="D164" s="26" t="s">
        <v>25</v>
      </c>
      <c r="E164" s="26" t="s">
        <v>85</v>
      </c>
      <c r="F164" s="26" t="s">
        <v>561</v>
      </c>
      <c r="G164" s="28">
        <v>8738</v>
      </c>
      <c r="H164" s="28">
        <v>295</v>
      </c>
      <c r="I164" s="28">
        <v>529</v>
      </c>
      <c r="J164" s="28">
        <v>442</v>
      </c>
      <c r="K164" s="29">
        <v>25286</v>
      </c>
      <c r="L164" s="28">
        <v>147522</v>
      </c>
      <c r="M164" s="26" t="s">
        <v>32</v>
      </c>
      <c r="N164" s="30">
        <f t="shared" si="2"/>
        <v>0.064817450956467501</v>
      </c>
    </row>
    <row r="165" ht="14.4">
      <c r="A165" s="25" t="s">
        <v>384</v>
      </c>
      <c r="B165" s="26" t="s">
        <v>510</v>
      </c>
      <c r="C165" s="27">
        <v>45739</v>
      </c>
      <c r="D165" s="26" t="s">
        <v>38</v>
      </c>
      <c r="E165" s="26" t="s">
        <v>549</v>
      </c>
      <c r="F165" s="26" t="s">
        <v>550</v>
      </c>
      <c r="G165" s="28">
        <v>17728</v>
      </c>
      <c r="H165" s="28">
        <v>1487</v>
      </c>
      <c r="I165" s="28">
        <v>210</v>
      </c>
      <c r="J165" s="28">
        <v>2469</v>
      </c>
      <c r="K165" s="29">
        <v>30565</v>
      </c>
      <c r="L165" s="28">
        <v>117576</v>
      </c>
      <c r="M165" s="26" t="s">
        <v>17</v>
      </c>
      <c r="N165" s="30">
        <f t="shared" si="2"/>
        <v>0.165212288222086</v>
      </c>
    </row>
    <row r="166" ht="14.4">
      <c r="A166" s="25" t="s">
        <v>382</v>
      </c>
      <c r="B166" s="26" t="s">
        <v>510</v>
      </c>
      <c r="C166" s="27">
        <v>45328</v>
      </c>
      <c r="D166" s="26" t="s">
        <v>30</v>
      </c>
      <c r="E166" s="26" t="s">
        <v>558</v>
      </c>
      <c r="F166" s="26" t="s">
        <v>559</v>
      </c>
      <c r="G166" s="28">
        <v>14199</v>
      </c>
      <c r="H166" s="28">
        <v>1206</v>
      </c>
      <c r="I166" s="28">
        <v>954</v>
      </c>
      <c r="J166" s="28">
        <v>2009</v>
      </c>
      <c r="K166" s="29">
        <v>8</v>
      </c>
      <c r="L166" s="28">
        <v>65537</v>
      </c>
      <c r="M166" s="26" t="s">
        <v>27</v>
      </c>
      <c r="N166" s="30">
        <f t="shared" si="2"/>
        <v>0.249614721455056</v>
      </c>
    </row>
    <row r="167" ht="14.4">
      <c r="A167" s="25" t="s">
        <v>71</v>
      </c>
      <c r="B167" s="26" t="s">
        <v>23</v>
      </c>
      <c r="C167" s="27">
        <v>45715</v>
      </c>
      <c r="D167" s="26" t="s">
        <v>15</v>
      </c>
      <c r="E167" s="26" t="s">
        <v>549</v>
      </c>
      <c r="F167" s="26" t="s">
        <v>550</v>
      </c>
      <c r="G167" s="28">
        <v>8970</v>
      </c>
      <c r="H167" s="28">
        <v>331</v>
      </c>
      <c r="I167" s="28">
        <v>968</v>
      </c>
      <c r="J167" s="28">
        <v>2296</v>
      </c>
      <c r="K167" s="29">
        <v>24613</v>
      </c>
      <c r="L167" s="28">
        <v>198562</v>
      </c>
      <c r="M167" s="26" t="s">
        <v>32</v>
      </c>
      <c r="N167" s="30">
        <f t="shared" si="2"/>
        <v>0.051716844109144802</v>
      </c>
    </row>
    <row r="168" ht="14.4">
      <c r="A168" s="25" t="s">
        <v>381</v>
      </c>
      <c r="B168" s="26" t="s">
        <v>511</v>
      </c>
      <c r="C168" s="27">
        <v>45685</v>
      </c>
      <c r="D168" s="26" t="s">
        <v>38</v>
      </c>
      <c r="E168" s="26" t="s">
        <v>549</v>
      </c>
      <c r="F168" s="26" t="s">
        <v>550</v>
      </c>
      <c r="G168" s="28">
        <v>9943</v>
      </c>
      <c r="H168" s="28">
        <v>1274</v>
      </c>
      <c r="I168" s="28">
        <v>336</v>
      </c>
      <c r="J168" s="28">
        <v>389</v>
      </c>
      <c r="K168" s="29">
        <v>6145</v>
      </c>
      <c r="L168" s="28">
        <v>231305</v>
      </c>
      <c r="M168" s="26" t="s">
        <v>17</v>
      </c>
      <c r="N168" s="30">
        <f t="shared" si="2"/>
        <v>0.049947039623008602</v>
      </c>
    </row>
    <row r="169" ht="14.4">
      <c r="A169" s="25" t="s">
        <v>379</v>
      </c>
      <c r="B169" s="26" t="s">
        <v>23</v>
      </c>
      <c r="C169" s="27">
        <v>45602</v>
      </c>
      <c r="D169" s="26" t="s">
        <v>30</v>
      </c>
      <c r="E169" s="26" t="s">
        <v>85</v>
      </c>
      <c r="F169" s="26" t="s">
        <v>561</v>
      </c>
      <c r="G169" s="28">
        <v>14910</v>
      </c>
      <c r="H169" s="28">
        <v>778</v>
      </c>
      <c r="I169" s="28">
        <v>289</v>
      </c>
      <c r="J169" s="28">
        <v>2541</v>
      </c>
      <c r="K169" s="29">
        <v>14309</v>
      </c>
      <c r="L169" s="28">
        <v>247815</v>
      </c>
      <c r="M169" s="26" t="s">
        <v>27</v>
      </c>
      <c r="N169" s="30">
        <f t="shared" si="2"/>
        <v>0.064471480741682297</v>
      </c>
    </row>
    <row r="170" ht="14.4">
      <c r="A170" s="25" t="s">
        <v>378</v>
      </c>
      <c r="B170" s="26" t="s">
        <v>511</v>
      </c>
      <c r="C170" s="27">
        <v>45926</v>
      </c>
      <c r="D170" s="26" t="s">
        <v>38</v>
      </c>
      <c r="E170" s="26" t="s">
        <v>562</v>
      </c>
      <c r="F170" s="26" t="s">
        <v>563</v>
      </c>
      <c r="G170" s="28">
        <v>16369</v>
      </c>
      <c r="H170" s="28">
        <v>1452</v>
      </c>
      <c r="I170" s="28">
        <v>493</v>
      </c>
      <c r="J170" s="28">
        <v>1217</v>
      </c>
      <c r="K170" s="29">
        <v>91440</v>
      </c>
      <c r="L170" s="28">
        <v>149834</v>
      </c>
      <c r="M170" s="26" t="s">
        <v>21</v>
      </c>
      <c r="N170" s="30">
        <f t="shared" si="2"/>
        <v>0.12222859965028</v>
      </c>
    </row>
    <row r="171" ht="14.4">
      <c r="A171" s="25" t="s">
        <v>377</v>
      </c>
      <c r="B171" s="26" t="s">
        <v>23</v>
      </c>
      <c r="C171" s="27">
        <v>45502</v>
      </c>
      <c r="D171" s="26" t="s">
        <v>25</v>
      </c>
      <c r="E171" s="26" t="s">
        <v>562</v>
      </c>
      <c r="F171" s="26" t="s">
        <v>563</v>
      </c>
      <c r="G171" s="28">
        <v>22590</v>
      </c>
      <c r="H171" s="28">
        <v>1462</v>
      </c>
      <c r="I171" s="28">
        <v>966</v>
      </c>
      <c r="J171" s="28">
        <v>2463</v>
      </c>
      <c r="K171" s="29">
        <v>29689</v>
      </c>
      <c r="L171" s="28">
        <v>103449</v>
      </c>
      <c r="M171" s="26" t="s">
        <v>27</v>
      </c>
      <c r="N171" s="30">
        <f t="shared" si="2"/>
        <v>0.24183897379385</v>
      </c>
    </row>
    <row r="172" ht="14.4">
      <c r="A172" s="25" t="s">
        <v>376</v>
      </c>
      <c r="B172" s="26" t="s">
        <v>510</v>
      </c>
      <c r="C172" s="27">
        <v>45925</v>
      </c>
      <c r="D172" s="26" t="s">
        <v>30</v>
      </c>
      <c r="E172" s="26" t="s">
        <v>566</v>
      </c>
      <c r="F172" s="26" t="s">
        <v>35</v>
      </c>
      <c r="G172" s="28">
        <v>8371</v>
      </c>
      <c r="H172" s="28">
        <v>960</v>
      </c>
      <c r="I172" s="28">
        <v>548</v>
      </c>
      <c r="J172" s="28">
        <v>2936</v>
      </c>
      <c r="K172" s="29">
        <v>82543</v>
      </c>
      <c r="L172" s="28">
        <v>119973</v>
      </c>
      <c r="M172" s="26" t="s">
        <v>21</v>
      </c>
      <c r="N172" s="30">
        <f t="shared" si="2"/>
        <v>0.082343527293641097</v>
      </c>
    </row>
    <row r="173" ht="14.4">
      <c r="A173" s="25" t="s">
        <v>375</v>
      </c>
      <c r="B173" s="26" t="s">
        <v>510</v>
      </c>
      <c r="C173" s="27">
        <v>45649</v>
      </c>
      <c r="D173" s="26" t="s">
        <v>30</v>
      </c>
      <c r="E173" s="26" t="s">
        <v>564</v>
      </c>
      <c r="F173" s="26" t="s">
        <v>565</v>
      </c>
      <c r="G173" s="28">
        <v>18616</v>
      </c>
      <c r="H173" s="28">
        <v>1277</v>
      </c>
      <c r="I173" s="28">
        <v>734</v>
      </c>
      <c r="J173" s="28">
        <v>2249</v>
      </c>
      <c r="K173" s="29">
        <v>3399</v>
      </c>
      <c r="L173" s="28">
        <v>193515</v>
      </c>
      <c r="M173" s="26" t="s">
        <v>32</v>
      </c>
      <c r="N173" s="30">
        <f t="shared" si="2"/>
        <v>0.106591220318838</v>
      </c>
    </row>
    <row r="174" ht="14.4">
      <c r="A174" s="25" t="s">
        <v>373</v>
      </c>
      <c r="B174" s="26" t="s">
        <v>23</v>
      </c>
      <c r="C174" s="27">
        <v>45662</v>
      </c>
      <c r="D174" s="26" t="s">
        <v>25</v>
      </c>
      <c r="E174" s="26" t="s">
        <v>557</v>
      </c>
      <c r="F174" s="26" t="s">
        <v>555</v>
      </c>
      <c r="G174" s="28">
        <v>10258</v>
      </c>
      <c r="H174" s="28">
        <v>527</v>
      </c>
      <c r="I174" s="28">
        <v>854</v>
      </c>
      <c r="J174" s="28">
        <v>2068</v>
      </c>
      <c r="K174" s="29">
        <v>45632</v>
      </c>
      <c r="L174" s="28">
        <v>136546</v>
      </c>
      <c r="M174" s="26" t="s">
        <v>55</v>
      </c>
      <c r="N174" s="30">
        <f t="shared" si="2"/>
        <v>0.085238674146441498</v>
      </c>
    </row>
    <row r="175" ht="14.4">
      <c r="A175" s="25" t="s">
        <v>372</v>
      </c>
      <c r="B175" s="26" t="s">
        <v>510</v>
      </c>
      <c r="C175" s="27">
        <v>45719</v>
      </c>
      <c r="D175" s="26" t="s">
        <v>30</v>
      </c>
      <c r="E175" s="26" t="s">
        <v>562</v>
      </c>
      <c r="F175" s="26" t="s">
        <v>563</v>
      </c>
      <c r="G175" s="28">
        <v>9561</v>
      </c>
      <c r="H175" s="28">
        <v>642</v>
      </c>
      <c r="I175" s="28">
        <v>581</v>
      </c>
      <c r="J175" s="28">
        <v>2572</v>
      </c>
      <c r="K175" s="29">
        <v>38552</v>
      </c>
      <c r="L175" s="28">
        <v>133680</v>
      </c>
      <c r="M175" s="26" t="s">
        <v>17</v>
      </c>
      <c r="N175" s="30">
        <f t="shared" si="2"/>
        <v>0.080670257330939604</v>
      </c>
    </row>
    <row r="176" ht="14.4">
      <c r="A176" s="25" t="s">
        <v>371</v>
      </c>
      <c r="B176" s="26" t="s">
        <v>510</v>
      </c>
      <c r="C176" s="27">
        <v>45924</v>
      </c>
      <c r="D176" s="26" t="s">
        <v>15</v>
      </c>
      <c r="E176" s="26" t="s">
        <v>85</v>
      </c>
      <c r="F176" s="26" t="s">
        <v>561</v>
      </c>
      <c r="G176" s="28">
        <v>11795</v>
      </c>
      <c r="H176" s="28">
        <v>958</v>
      </c>
      <c r="I176" s="28">
        <v>814</v>
      </c>
      <c r="J176" s="28">
        <v>301</v>
      </c>
      <c r="K176" s="29">
        <v>12564</v>
      </c>
      <c r="L176" s="28">
        <v>179999</v>
      </c>
      <c r="M176" s="26" t="s">
        <v>21</v>
      </c>
      <c r="N176" s="30">
        <f t="shared" si="2"/>
        <v>0.075372640959116402</v>
      </c>
    </row>
    <row r="177" ht="14.4">
      <c r="A177" s="25" t="s">
        <v>369</v>
      </c>
      <c r="B177" s="26" t="s">
        <v>23</v>
      </c>
      <c r="C177" s="27">
        <v>45707</v>
      </c>
      <c r="D177" s="26" t="s">
        <v>30</v>
      </c>
      <c r="E177" s="26" t="s">
        <v>557</v>
      </c>
      <c r="F177" s="26" t="s">
        <v>555</v>
      </c>
      <c r="G177" s="28">
        <v>8168</v>
      </c>
      <c r="H177" s="28">
        <v>512</v>
      </c>
      <c r="I177" s="28">
        <v>442</v>
      </c>
      <c r="J177" s="28">
        <v>2343</v>
      </c>
      <c r="K177" s="29">
        <v>2753</v>
      </c>
      <c r="L177" s="28">
        <v>143896</v>
      </c>
      <c r="M177" s="26" t="s">
        <v>55</v>
      </c>
      <c r="N177" s="30">
        <f t="shared" si="2"/>
        <v>0.0633930060599322</v>
      </c>
    </row>
    <row r="178" ht="14.4">
      <c r="A178" s="25" t="s">
        <v>69</v>
      </c>
      <c r="B178" s="26" t="s">
        <v>46</v>
      </c>
      <c r="C178" s="27">
        <v>45878</v>
      </c>
      <c r="D178" s="26" t="s">
        <v>38</v>
      </c>
      <c r="E178" s="26" t="s">
        <v>566</v>
      </c>
      <c r="F178" s="26" t="s">
        <v>35</v>
      </c>
      <c r="G178" s="28">
        <v>22309</v>
      </c>
      <c r="H178" s="28">
        <v>773</v>
      </c>
      <c r="I178" s="28">
        <v>854</v>
      </c>
      <c r="J178" s="28">
        <v>2387</v>
      </c>
      <c r="K178" s="29">
        <v>72396</v>
      </c>
      <c r="L178" s="28">
        <v>97056</v>
      </c>
      <c r="M178" s="26" t="s">
        <v>21</v>
      </c>
      <c r="N178" s="30">
        <f t="shared" si="2"/>
        <v>0.24662050774810401</v>
      </c>
    </row>
    <row r="179" ht="14.4">
      <c r="A179" s="25" t="s">
        <v>367</v>
      </c>
      <c r="B179" s="26" t="s">
        <v>46</v>
      </c>
      <c r="C179" s="27">
        <v>45735</v>
      </c>
      <c r="D179" s="26" t="s">
        <v>38</v>
      </c>
      <c r="E179" s="26" t="s">
        <v>555</v>
      </c>
      <c r="F179" s="26" t="s">
        <v>556</v>
      </c>
      <c r="G179" s="28">
        <v>13475</v>
      </c>
      <c r="H179" s="28">
        <v>1032</v>
      </c>
      <c r="I179" s="28">
        <v>295</v>
      </c>
      <c r="J179" s="28">
        <v>541</v>
      </c>
      <c r="K179" s="29">
        <v>43666</v>
      </c>
      <c r="L179" s="28">
        <v>202396</v>
      </c>
      <c r="M179" s="26" t="s">
        <v>55</v>
      </c>
      <c r="N179" s="30">
        <f t="shared" si="2"/>
        <v>0.073133856400324104</v>
      </c>
    </row>
    <row r="180" ht="14.4">
      <c r="A180" s="25" t="s">
        <v>366</v>
      </c>
      <c r="B180" s="26" t="s">
        <v>511</v>
      </c>
      <c r="C180" s="27">
        <v>45467</v>
      </c>
      <c r="D180" s="26" t="s">
        <v>25</v>
      </c>
      <c r="E180" s="26" t="s">
        <v>558</v>
      </c>
      <c r="F180" s="26" t="s">
        <v>559</v>
      </c>
      <c r="G180" s="28">
        <v>5596</v>
      </c>
      <c r="H180" s="28">
        <v>1231</v>
      </c>
      <c r="I180" s="28">
        <v>473</v>
      </c>
      <c r="J180" s="28">
        <v>2251</v>
      </c>
      <c r="K180" s="29">
        <v>43705</v>
      </c>
      <c r="L180" s="28">
        <v>75643</v>
      </c>
      <c r="M180" s="26" t="s">
        <v>17</v>
      </c>
      <c r="N180" s="30">
        <f t="shared" si="2"/>
        <v>0.096505955607260399</v>
      </c>
    </row>
    <row r="181" ht="14.4">
      <c r="A181" s="25" t="s">
        <v>364</v>
      </c>
      <c r="B181" s="26" t="s">
        <v>511</v>
      </c>
      <c r="C181" s="27">
        <v>45655</v>
      </c>
      <c r="D181" s="26" t="s">
        <v>38</v>
      </c>
      <c r="E181" s="26" t="s">
        <v>85</v>
      </c>
      <c r="F181" s="26" t="s">
        <v>561</v>
      </c>
      <c r="G181" s="28">
        <v>8288</v>
      </c>
      <c r="H181" s="28">
        <v>1401</v>
      </c>
      <c r="I181" s="28">
        <v>819</v>
      </c>
      <c r="J181" s="28">
        <v>1235</v>
      </c>
      <c r="K181" s="29">
        <v>33446</v>
      </c>
      <c r="L181" s="28">
        <v>248786</v>
      </c>
      <c r="M181" s="26" t="s">
        <v>17</v>
      </c>
      <c r="N181" s="30">
        <f t="shared" si="2"/>
        <v>0.042237103373984099</v>
      </c>
    </row>
    <row r="182" ht="14.4">
      <c r="A182" s="25" t="s">
        <v>363</v>
      </c>
      <c r="B182" s="26" t="s">
        <v>23</v>
      </c>
      <c r="C182" s="27">
        <v>45467</v>
      </c>
      <c r="D182" s="26" t="s">
        <v>15</v>
      </c>
      <c r="E182" s="26" t="s">
        <v>555</v>
      </c>
      <c r="F182" s="26" t="s">
        <v>560</v>
      </c>
      <c r="G182" s="28">
        <v>6632</v>
      </c>
      <c r="H182" s="28">
        <v>254</v>
      </c>
      <c r="I182" s="28">
        <v>525</v>
      </c>
      <c r="J182" s="28">
        <v>1013</v>
      </c>
      <c r="K182" s="29">
        <v>13838</v>
      </c>
      <c r="L182" s="28">
        <v>180180</v>
      </c>
      <c r="M182" s="26" t="s">
        <v>17</v>
      </c>
      <c r="N182" s="30">
        <f t="shared" si="2"/>
        <v>0.041131091131091098</v>
      </c>
    </row>
    <row r="183" ht="14.4">
      <c r="A183" s="25" t="s">
        <v>362</v>
      </c>
      <c r="B183" s="26" t="s">
        <v>511</v>
      </c>
      <c r="C183" s="27">
        <v>45923</v>
      </c>
      <c r="D183" s="26" t="s">
        <v>25</v>
      </c>
      <c r="E183" s="26" t="s">
        <v>555</v>
      </c>
      <c r="F183" s="26" t="s">
        <v>560</v>
      </c>
      <c r="G183" s="28">
        <v>17147</v>
      </c>
      <c r="H183" s="28">
        <v>286</v>
      </c>
      <c r="I183" s="28">
        <v>291</v>
      </c>
      <c r="J183" s="28">
        <v>2439</v>
      </c>
      <c r="K183" s="29">
        <v>45631</v>
      </c>
      <c r="L183" s="28">
        <v>140494</v>
      </c>
      <c r="M183" s="26" t="s">
        <v>21</v>
      </c>
      <c r="N183" s="30">
        <f t="shared" si="2"/>
        <v>0.12615485358805401</v>
      </c>
    </row>
    <row r="184" ht="14.4">
      <c r="A184" s="25" t="s">
        <v>361</v>
      </c>
      <c r="B184" s="26" t="s">
        <v>23</v>
      </c>
      <c r="C184" s="27">
        <v>45922</v>
      </c>
      <c r="D184" s="26" t="s">
        <v>38</v>
      </c>
      <c r="E184" s="26" t="s">
        <v>35</v>
      </c>
      <c r="F184" s="26" t="s">
        <v>561</v>
      </c>
      <c r="G184" s="28">
        <v>18509</v>
      </c>
      <c r="H184" s="28">
        <v>361</v>
      </c>
      <c r="I184" s="28">
        <v>578</v>
      </c>
      <c r="J184" s="28">
        <v>1409</v>
      </c>
      <c r="K184" s="29">
        <v>10569</v>
      </c>
      <c r="L184" s="28">
        <v>166969</v>
      </c>
      <c r="M184" s="26" t="s">
        <v>21</v>
      </c>
      <c r="N184" s="30">
        <f t="shared" si="2"/>
        <v>0.1164767112458</v>
      </c>
    </row>
    <row r="185" ht="14.4">
      <c r="A185" s="25" t="s">
        <v>359</v>
      </c>
      <c r="B185" s="26" t="s">
        <v>510</v>
      </c>
      <c r="C185" s="27">
        <v>45617</v>
      </c>
      <c r="D185" s="26" t="s">
        <v>15</v>
      </c>
      <c r="E185" s="26" t="s">
        <v>553</v>
      </c>
      <c r="F185" s="26" t="s">
        <v>554</v>
      </c>
      <c r="G185" s="28">
        <v>8229</v>
      </c>
      <c r="H185" s="28">
        <v>977</v>
      </c>
      <c r="I185" s="28">
        <v>152</v>
      </c>
      <c r="J185" s="28">
        <v>1633</v>
      </c>
      <c r="K185" s="29">
        <v>71447</v>
      </c>
      <c r="L185" s="28">
        <v>67723</v>
      </c>
      <c r="M185" s="26" t="s">
        <v>55</v>
      </c>
      <c r="N185" s="30">
        <f t="shared" si="2"/>
        <v>0.138180529509915</v>
      </c>
    </row>
    <row r="186" ht="14.4">
      <c r="A186" s="25" t="s">
        <v>358</v>
      </c>
      <c r="B186" s="26" t="s">
        <v>511</v>
      </c>
      <c r="C186" s="27">
        <v>45921</v>
      </c>
      <c r="D186" s="26" t="s">
        <v>15</v>
      </c>
      <c r="E186" s="26" t="s">
        <v>551</v>
      </c>
      <c r="F186" s="26" t="s">
        <v>552</v>
      </c>
      <c r="G186" s="28">
        <v>19680</v>
      </c>
      <c r="H186" s="28">
        <v>999</v>
      </c>
      <c r="I186" s="28">
        <v>838</v>
      </c>
      <c r="J186" s="28">
        <v>891</v>
      </c>
      <c r="K186" s="29">
        <v>29576</v>
      </c>
      <c r="L186" s="28">
        <v>129152</v>
      </c>
      <c r="M186" s="26" t="s">
        <v>21</v>
      </c>
      <c r="N186" s="30">
        <f t="shared" si="2"/>
        <v>0.16660214321110001</v>
      </c>
    </row>
    <row r="187" ht="14.4">
      <c r="A187" s="25" t="s">
        <v>356</v>
      </c>
      <c r="B187" s="26" t="s">
        <v>510</v>
      </c>
      <c r="C187" s="27">
        <v>45672</v>
      </c>
      <c r="D187" s="26" t="s">
        <v>25</v>
      </c>
      <c r="E187" s="26" t="s">
        <v>35</v>
      </c>
      <c r="F187" s="26" t="s">
        <v>561</v>
      </c>
      <c r="G187" s="28">
        <v>20360</v>
      </c>
      <c r="H187" s="28">
        <v>254</v>
      </c>
      <c r="I187" s="28">
        <v>726</v>
      </c>
      <c r="J187" s="28">
        <v>1995</v>
      </c>
      <c r="K187" s="29">
        <v>14280</v>
      </c>
      <c r="L187" s="28">
        <v>43726</v>
      </c>
      <c r="M187" s="26" t="s">
        <v>32</v>
      </c>
      <c r="N187" s="30">
        <f t="shared" si="2"/>
        <v>0.48803915290673699</v>
      </c>
    </row>
    <row r="188" ht="14.4">
      <c r="A188" s="25" t="s">
        <v>354</v>
      </c>
      <c r="B188" s="26" t="s">
        <v>510</v>
      </c>
      <c r="C188" s="27">
        <v>45842</v>
      </c>
      <c r="D188" s="26" t="s">
        <v>38</v>
      </c>
      <c r="E188" s="26" t="s">
        <v>566</v>
      </c>
      <c r="F188" s="26" t="s">
        <v>35</v>
      </c>
      <c r="G188" s="28">
        <v>3062</v>
      </c>
      <c r="H188" s="28">
        <v>1124</v>
      </c>
      <c r="I188" s="28">
        <v>538</v>
      </c>
      <c r="J188" s="28">
        <v>2935</v>
      </c>
      <c r="K188" s="29">
        <v>69749</v>
      </c>
      <c r="L188" s="28">
        <v>91924</v>
      </c>
      <c r="M188" s="26" t="s">
        <v>32</v>
      </c>
      <c r="N188" s="30">
        <f t="shared" si="2"/>
        <v>0.051390278926069399</v>
      </c>
    </row>
    <row r="189" ht="14.4">
      <c r="A189" s="25" t="s">
        <v>67</v>
      </c>
      <c r="B189" s="26" t="s">
        <v>510</v>
      </c>
      <c r="C189" s="27">
        <v>45544</v>
      </c>
      <c r="D189" s="26" t="s">
        <v>30</v>
      </c>
      <c r="E189" s="26" t="s">
        <v>564</v>
      </c>
      <c r="F189" s="26" t="s">
        <v>565</v>
      </c>
      <c r="G189" s="28">
        <v>6158</v>
      </c>
      <c r="H189" s="28">
        <v>277</v>
      </c>
      <c r="I189" s="28">
        <v>512</v>
      </c>
      <c r="J189" s="28">
        <v>2189</v>
      </c>
      <c r="K189" s="29">
        <v>76881</v>
      </c>
      <c r="L189" s="28">
        <v>124878</v>
      </c>
      <c r="M189" s="26" t="s">
        <v>32</v>
      </c>
      <c r="N189" s="30">
        <f t="shared" si="2"/>
        <v>0.055630295168084001</v>
      </c>
    </row>
    <row r="190" ht="14.4">
      <c r="A190" s="25" t="s">
        <v>18</v>
      </c>
      <c r="B190" s="26" t="s">
        <v>511</v>
      </c>
      <c r="C190" s="27">
        <v>45725</v>
      </c>
      <c r="D190" s="26" t="s">
        <v>15</v>
      </c>
      <c r="E190" s="26" t="s">
        <v>558</v>
      </c>
      <c r="F190" s="26" t="s">
        <v>559</v>
      </c>
      <c r="G190" s="28">
        <v>4779</v>
      </c>
      <c r="H190" s="28">
        <v>1110</v>
      </c>
      <c r="I190" s="28">
        <v>436</v>
      </c>
      <c r="J190" s="28">
        <v>1574</v>
      </c>
      <c r="K190" s="29">
        <v>77167</v>
      </c>
      <c r="L190" s="28">
        <v>71585</v>
      </c>
      <c r="M190" s="26" t="s">
        <v>21</v>
      </c>
      <c r="N190" s="30">
        <f t="shared" si="2"/>
        <v>0.088356499266606103</v>
      </c>
    </row>
    <row r="191" ht="14.4">
      <c r="A191" s="25" t="s">
        <v>353</v>
      </c>
      <c r="B191" s="26" t="s">
        <v>23</v>
      </c>
      <c r="C191" s="27">
        <v>45920</v>
      </c>
      <c r="D191" s="26" t="s">
        <v>15</v>
      </c>
      <c r="E191" s="26" t="s">
        <v>553</v>
      </c>
      <c r="F191" s="26" t="s">
        <v>554</v>
      </c>
      <c r="G191" s="28">
        <v>12267</v>
      </c>
      <c r="H191" s="28">
        <v>1487</v>
      </c>
      <c r="I191" s="28">
        <v>489</v>
      </c>
      <c r="J191" s="28">
        <v>2748</v>
      </c>
      <c r="K191" s="29">
        <v>34685</v>
      </c>
      <c r="L191" s="28">
        <v>131736</v>
      </c>
      <c r="M191" s="26" t="s">
        <v>21</v>
      </c>
      <c r="N191" s="30">
        <f t="shared" si="2"/>
        <v>0.108117750652821</v>
      </c>
    </row>
    <row r="192" ht="14.4">
      <c r="A192" s="25" t="s">
        <v>352</v>
      </c>
      <c r="B192" s="26" t="s">
        <v>511</v>
      </c>
      <c r="C192" s="27">
        <v>45919</v>
      </c>
      <c r="D192" s="26" t="s">
        <v>38</v>
      </c>
      <c r="E192" s="26" t="s">
        <v>555</v>
      </c>
      <c r="F192" s="26" t="s">
        <v>556</v>
      </c>
      <c r="G192" s="28">
        <v>14772</v>
      </c>
      <c r="H192" s="28">
        <v>1030</v>
      </c>
      <c r="I192" s="28">
        <v>508</v>
      </c>
      <c r="J192" s="28">
        <v>1876</v>
      </c>
      <c r="K192" s="29">
        <v>8882</v>
      </c>
      <c r="L192" s="28">
        <v>155142</v>
      </c>
      <c r="M192" s="26" t="s">
        <v>21</v>
      </c>
      <c r="N192" s="30">
        <f t="shared" si="2"/>
        <v>0.10512949426976601</v>
      </c>
    </row>
    <row r="193" ht="14.4">
      <c r="A193" s="25" t="s">
        <v>351</v>
      </c>
      <c r="B193" s="26" t="s">
        <v>46</v>
      </c>
      <c r="C193" s="27">
        <v>45587</v>
      </c>
      <c r="D193" s="26" t="s">
        <v>25</v>
      </c>
      <c r="E193" s="26" t="s">
        <v>564</v>
      </c>
      <c r="F193" s="26" t="s">
        <v>565</v>
      </c>
      <c r="G193" s="28">
        <v>7750</v>
      </c>
      <c r="H193" s="28">
        <v>1146</v>
      </c>
      <c r="I193" s="28">
        <v>415</v>
      </c>
      <c r="J193" s="28">
        <v>1411</v>
      </c>
      <c r="K193" s="29">
        <v>85339</v>
      </c>
      <c r="L193" s="28">
        <v>172439</v>
      </c>
      <c r="M193" s="26" t="s">
        <v>27</v>
      </c>
      <c r="N193" s="30">
        <f t="shared" si="2"/>
        <v>0.053995905798572198</v>
      </c>
    </row>
    <row r="194" ht="14.4">
      <c r="A194" s="25" t="s">
        <v>350</v>
      </c>
      <c r="B194" s="26" t="s">
        <v>46</v>
      </c>
      <c r="C194" s="27">
        <v>45918</v>
      </c>
      <c r="D194" s="26" t="s">
        <v>25</v>
      </c>
      <c r="E194" s="26" t="s">
        <v>85</v>
      </c>
      <c r="F194" s="26" t="s">
        <v>561</v>
      </c>
      <c r="G194" s="28">
        <v>10152</v>
      </c>
      <c r="H194" s="28">
        <v>1445</v>
      </c>
      <c r="I194" s="28">
        <v>526</v>
      </c>
      <c r="J194" s="28">
        <v>513</v>
      </c>
      <c r="K194" s="29">
        <v>18959</v>
      </c>
      <c r="L194" s="28">
        <v>43712</v>
      </c>
      <c r="M194" s="26" t="s">
        <v>21</v>
      </c>
      <c r="N194" s="30">
        <f t="shared" ref="N194:N257" si="3">(G194+H194+I194)/L194</f>
        <v>0.27733803074670599</v>
      </c>
    </row>
    <row r="195" ht="14.4">
      <c r="A195" s="25" t="s">
        <v>348</v>
      </c>
      <c r="B195" s="26" t="s">
        <v>510</v>
      </c>
      <c r="C195" s="27">
        <v>45519</v>
      </c>
      <c r="D195" s="26" t="s">
        <v>15</v>
      </c>
      <c r="E195" s="26" t="s">
        <v>557</v>
      </c>
      <c r="F195" s="26" t="s">
        <v>555</v>
      </c>
      <c r="G195" s="28">
        <v>15503</v>
      </c>
      <c r="H195" s="28">
        <v>313</v>
      </c>
      <c r="I195" s="28">
        <v>388</v>
      </c>
      <c r="J195" s="28">
        <v>1078</v>
      </c>
      <c r="K195" s="29">
        <v>11500</v>
      </c>
      <c r="L195" s="28">
        <v>143754</v>
      </c>
      <c r="M195" s="26" t="s">
        <v>32</v>
      </c>
      <c r="N195" s="30">
        <f t="shared" si="3"/>
        <v>0.11272034169484001</v>
      </c>
    </row>
    <row r="196" ht="14.4">
      <c r="A196" s="25" t="s">
        <v>347</v>
      </c>
      <c r="B196" s="26" t="s">
        <v>510</v>
      </c>
      <c r="C196" s="27">
        <v>45332</v>
      </c>
      <c r="D196" s="26" t="s">
        <v>30</v>
      </c>
      <c r="E196" s="26" t="s">
        <v>549</v>
      </c>
      <c r="F196" s="26" t="s">
        <v>550</v>
      </c>
      <c r="G196" s="28">
        <v>5086</v>
      </c>
      <c r="H196" s="28">
        <v>1336</v>
      </c>
      <c r="I196" s="28">
        <v>897</v>
      </c>
      <c r="J196" s="28">
        <v>1715</v>
      </c>
      <c r="K196" s="29">
        <v>60592</v>
      </c>
      <c r="L196" s="28">
        <v>57772</v>
      </c>
      <c r="M196" s="26" t="s">
        <v>27</v>
      </c>
      <c r="N196" s="30">
        <f t="shared" si="3"/>
        <v>0.12668766876687701</v>
      </c>
    </row>
    <row r="197" ht="14.4">
      <c r="A197" s="25" t="s">
        <v>345</v>
      </c>
      <c r="B197" s="26" t="s">
        <v>23</v>
      </c>
      <c r="C197" s="27">
        <v>45605</v>
      </c>
      <c r="D197" s="26" t="s">
        <v>15</v>
      </c>
      <c r="E197" s="26" t="s">
        <v>553</v>
      </c>
      <c r="F197" s="26" t="s">
        <v>554</v>
      </c>
      <c r="G197" s="28">
        <v>3906</v>
      </c>
      <c r="H197" s="28">
        <v>1187</v>
      </c>
      <c r="I197" s="28">
        <v>589</v>
      </c>
      <c r="J197" s="28">
        <v>401</v>
      </c>
      <c r="K197" s="29">
        <v>52687</v>
      </c>
      <c r="L197" s="28">
        <v>196498</v>
      </c>
      <c r="M197" s="26" t="s">
        <v>17</v>
      </c>
      <c r="N197" s="30">
        <f t="shared" si="3"/>
        <v>0.028916324848090098</v>
      </c>
    </row>
    <row r="198" ht="14.4">
      <c r="A198" s="25" t="s">
        <v>344</v>
      </c>
      <c r="B198" s="26" t="s">
        <v>510</v>
      </c>
      <c r="C198" s="27">
        <v>45945</v>
      </c>
      <c r="D198" s="26" t="s">
        <v>15</v>
      </c>
      <c r="E198" s="26" t="s">
        <v>553</v>
      </c>
      <c r="F198" s="26" t="s">
        <v>554</v>
      </c>
      <c r="G198" s="28">
        <v>8882</v>
      </c>
      <c r="H198" s="28">
        <v>701</v>
      </c>
      <c r="I198" s="28">
        <v>421</v>
      </c>
      <c r="J198" s="28">
        <v>2343</v>
      </c>
      <c r="K198" s="29">
        <v>13588</v>
      </c>
      <c r="L198" s="28">
        <v>139304</v>
      </c>
      <c r="M198" s="26" t="s">
        <v>21</v>
      </c>
      <c r="N198" s="30">
        <f t="shared" si="3"/>
        <v>0.071814161833113205</v>
      </c>
    </row>
    <row r="199" ht="14.4">
      <c r="A199" s="25" t="s">
        <v>343</v>
      </c>
      <c r="B199" s="26" t="s">
        <v>510</v>
      </c>
      <c r="C199" s="27">
        <v>45944</v>
      </c>
      <c r="D199" s="26" t="s">
        <v>38</v>
      </c>
      <c r="E199" s="26" t="s">
        <v>566</v>
      </c>
      <c r="F199" s="26" t="s">
        <v>35</v>
      </c>
      <c r="G199" s="28">
        <v>9673</v>
      </c>
      <c r="H199" s="28">
        <v>393</v>
      </c>
      <c r="I199" s="28">
        <v>846</v>
      </c>
      <c r="J199" s="28">
        <v>1028</v>
      </c>
      <c r="K199" s="29">
        <v>55556</v>
      </c>
      <c r="L199" s="28">
        <v>136652</v>
      </c>
      <c r="M199" s="26" t="s">
        <v>21</v>
      </c>
      <c r="N199" s="30">
        <f t="shared" si="3"/>
        <v>0.079852471972601896</v>
      </c>
    </row>
    <row r="200" ht="14.4">
      <c r="A200" s="25" t="s">
        <v>341</v>
      </c>
      <c r="B200" s="26" t="s">
        <v>46</v>
      </c>
      <c r="C200" s="27">
        <v>45392</v>
      </c>
      <c r="D200" s="26" t="s">
        <v>15</v>
      </c>
      <c r="E200" s="26" t="s">
        <v>549</v>
      </c>
      <c r="F200" s="26" t="s">
        <v>550</v>
      </c>
      <c r="G200" s="28">
        <v>21729</v>
      </c>
      <c r="H200" s="28">
        <v>1209</v>
      </c>
      <c r="I200" s="28">
        <v>897</v>
      </c>
      <c r="J200" s="28">
        <v>1624</v>
      </c>
      <c r="K200" s="29">
        <v>38771</v>
      </c>
      <c r="L200" s="28">
        <v>113297</v>
      </c>
      <c r="M200" s="26" t="s">
        <v>32</v>
      </c>
      <c r="N200" s="30">
        <f t="shared" si="3"/>
        <v>0.21037626768581699</v>
      </c>
    </row>
    <row r="201" ht="14.4">
      <c r="A201" s="25" t="s">
        <v>65</v>
      </c>
      <c r="B201" s="26" t="s">
        <v>511</v>
      </c>
      <c r="C201" s="27">
        <v>45466</v>
      </c>
      <c r="D201" s="26" t="s">
        <v>25</v>
      </c>
      <c r="E201" s="26" t="s">
        <v>555</v>
      </c>
      <c r="F201" s="26" t="s">
        <v>560</v>
      </c>
      <c r="G201" s="28">
        <v>16512</v>
      </c>
      <c r="H201" s="28">
        <v>1050</v>
      </c>
      <c r="I201" s="28">
        <v>971</v>
      </c>
      <c r="J201" s="28">
        <v>1891</v>
      </c>
      <c r="K201" s="29">
        <v>15865</v>
      </c>
      <c r="L201" s="28">
        <v>166503</v>
      </c>
      <c r="M201" s="26" t="s">
        <v>32</v>
      </c>
      <c r="N201" s="30">
        <f t="shared" si="3"/>
        <v>0.11130730377230399</v>
      </c>
    </row>
    <row r="202" ht="14.4">
      <c r="A202" s="25" t="s">
        <v>339</v>
      </c>
      <c r="B202" s="26" t="s">
        <v>510</v>
      </c>
      <c r="C202" s="27">
        <v>45740</v>
      </c>
      <c r="D202" s="26" t="s">
        <v>15</v>
      </c>
      <c r="E202" s="26" t="s">
        <v>35</v>
      </c>
      <c r="F202" s="26" t="s">
        <v>561</v>
      </c>
      <c r="G202" s="28">
        <v>10172</v>
      </c>
      <c r="H202" s="28">
        <v>1398</v>
      </c>
      <c r="I202" s="28">
        <v>394</v>
      </c>
      <c r="J202" s="28">
        <v>2358</v>
      </c>
      <c r="K202" s="29">
        <v>59610</v>
      </c>
      <c r="L202" s="28">
        <v>76321</v>
      </c>
      <c r="M202" s="26" t="s">
        <v>32</v>
      </c>
      <c r="N202" s="30">
        <f t="shared" si="3"/>
        <v>0.15675895231980699</v>
      </c>
    </row>
    <row r="203" ht="14.4">
      <c r="A203" s="25" t="s">
        <v>338</v>
      </c>
      <c r="B203" s="26" t="s">
        <v>510</v>
      </c>
      <c r="C203" s="27">
        <v>45449</v>
      </c>
      <c r="D203" s="26" t="s">
        <v>38</v>
      </c>
      <c r="E203" s="26" t="s">
        <v>551</v>
      </c>
      <c r="F203" s="26" t="s">
        <v>552</v>
      </c>
      <c r="G203" s="28">
        <v>3531</v>
      </c>
      <c r="H203" s="28">
        <v>789</v>
      </c>
      <c r="I203" s="28">
        <v>467</v>
      </c>
      <c r="J203" s="28">
        <v>1867</v>
      </c>
      <c r="K203" s="29">
        <v>40816</v>
      </c>
      <c r="L203" s="28">
        <v>236037</v>
      </c>
      <c r="M203" s="26" t="s">
        <v>27</v>
      </c>
      <c r="N203" s="30">
        <f t="shared" si="3"/>
        <v>0.020280718700881599</v>
      </c>
    </row>
    <row r="204" ht="14.4">
      <c r="A204" s="25" t="s">
        <v>336</v>
      </c>
      <c r="B204" s="26" t="s">
        <v>46</v>
      </c>
      <c r="C204" s="27">
        <v>45648</v>
      </c>
      <c r="D204" s="26" t="s">
        <v>25</v>
      </c>
      <c r="E204" s="26" t="s">
        <v>551</v>
      </c>
      <c r="F204" s="26" t="s">
        <v>552</v>
      </c>
      <c r="G204" s="28">
        <v>7870</v>
      </c>
      <c r="H204" s="28">
        <v>968</v>
      </c>
      <c r="I204" s="28">
        <v>626</v>
      </c>
      <c r="J204" s="28">
        <v>465</v>
      </c>
      <c r="K204" s="29">
        <v>27184</v>
      </c>
      <c r="L204" s="28">
        <v>44114</v>
      </c>
      <c r="M204" s="26" t="s">
        <v>55</v>
      </c>
      <c r="N204" s="30">
        <f t="shared" si="3"/>
        <v>0.214535068232307</v>
      </c>
    </row>
    <row r="205" ht="14.4">
      <c r="A205" s="25" t="s">
        <v>335</v>
      </c>
      <c r="B205" s="26" t="s">
        <v>23</v>
      </c>
      <c r="C205" s="27">
        <v>45528</v>
      </c>
      <c r="D205" s="26" t="s">
        <v>30</v>
      </c>
      <c r="E205" s="26" t="s">
        <v>564</v>
      </c>
      <c r="F205" s="26" t="s">
        <v>565</v>
      </c>
      <c r="G205" s="28">
        <v>24890</v>
      </c>
      <c r="H205" s="28">
        <v>217</v>
      </c>
      <c r="I205" s="28">
        <v>178</v>
      </c>
      <c r="J205" s="28">
        <v>906</v>
      </c>
      <c r="K205" s="29">
        <v>54826</v>
      </c>
      <c r="L205" s="28">
        <v>107203</v>
      </c>
      <c r="M205" s="26" t="s">
        <v>27</v>
      </c>
      <c r="N205" s="30">
        <f t="shared" si="3"/>
        <v>0.23586093672751701</v>
      </c>
    </row>
    <row r="206" ht="14.4">
      <c r="A206" s="25" t="s">
        <v>333</v>
      </c>
      <c r="B206" s="26" t="s">
        <v>23</v>
      </c>
      <c r="C206" s="27">
        <v>45962</v>
      </c>
      <c r="D206" s="26" t="s">
        <v>15</v>
      </c>
      <c r="E206" s="26" t="s">
        <v>558</v>
      </c>
      <c r="F206" s="26" t="s">
        <v>559</v>
      </c>
      <c r="G206" s="28">
        <v>21181</v>
      </c>
      <c r="H206" s="28">
        <v>1242</v>
      </c>
      <c r="I206" s="28">
        <v>963</v>
      </c>
      <c r="J206" s="28">
        <v>1689</v>
      </c>
      <c r="K206" s="29">
        <v>49329</v>
      </c>
      <c r="L206" s="28">
        <v>69165</v>
      </c>
      <c r="M206" s="26" t="s">
        <v>17</v>
      </c>
      <c r="N206" s="30">
        <f t="shared" si="3"/>
        <v>0.338118990819056</v>
      </c>
    </row>
    <row r="207" ht="14.4">
      <c r="A207" s="25" t="s">
        <v>332</v>
      </c>
      <c r="B207" s="26" t="s">
        <v>510</v>
      </c>
      <c r="C207" s="27">
        <v>45943</v>
      </c>
      <c r="D207" s="26" t="s">
        <v>30</v>
      </c>
      <c r="E207" s="26" t="s">
        <v>555</v>
      </c>
      <c r="F207" s="26" t="s">
        <v>560</v>
      </c>
      <c r="G207" s="28">
        <v>19302</v>
      </c>
      <c r="H207" s="28">
        <v>1367</v>
      </c>
      <c r="I207" s="28">
        <v>188</v>
      </c>
      <c r="J207" s="28">
        <v>637</v>
      </c>
      <c r="K207" s="29">
        <v>31404</v>
      </c>
      <c r="L207" s="28">
        <v>154044</v>
      </c>
      <c r="M207" s="26" t="s">
        <v>21</v>
      </c>
      <c r="N207" s="30">
        <f t="shared" si="3"/>
        <v>0.13539638025499201</v>
      </c>
    </row>
    <row r="208" ht="14.4">
      <c r="A208" s="25" t="s">
        <v>330</v>
      </c>
      <c r="B208" s="26" t="s">
        <v>46</v>
      </c>
      <c r="C208" s="27">
        <v>45643</v>
      </c>
      <c r="D208" s="26" t="s">
        <v>15</v>
      </c>
      <c r="E208" s="26" t="s">
        <v>553</v>
      </c>
      <c r="F208" s="26" t="s">
        <v>554</v>
      </c>
      <c r="G208" s="28">
        <v>20030</v>
      </c>
      <c r="H208" s="28">
        <v>485</v>
      </c>
      <c r="I208" s="28">
        <v>888</v>
      </c>
      <c r="J208" s="28">
        <v>1643</v>
      </c>
      <c r="K208" s="29">
        <v>4322</v>
      </c>
      <c r="L208" s="28">
        <v>196995</v>
      </c>
      <c r="M208" s="26" t="s">
        <v>27</v>
      </c>
      <c r="N208" s="30">
        <f t="shared" si="3"/>
        <v>0.108647427599685</v>
      </c>
    </row>
    <row r="209" ht="14.4">
      <c r="A209" s="25" t="s">
        <v>329</v>
      </c>
      <c r="B209" s="26" t="s">
        <v>510</v>
      </c>
      <c r="C209" s="27">
        <v>45504</v>
      </c>
      <c r="D209" s="26" t="s">
        <v>30</v>
      </c>
      <c r="E209" s="26" t="s">
        <v>564</v>
      </c>
      <c r="F209" s="26" t="s">
        <v>565</v>
      </c>
      <c r="G209" s="28">
        <v>7122</v>
      </c>
      <c r="H209" s="28">
        <v>628</v>
      </c>
      <c r="I209" s="28">
        <v>757</v>
      </c>
      <c r="J209" s="28">
        <v>2313</v>
      </c>
      <c r="K209" s="29">
        <v>50924</v>
      </c>
      <c r="L209" s="28">
        <v>210954</v>
      </c>
      <c r="M209" s="26" t="s">
        <v>55</v>
      </c>
      <c r="N209" s="30">
        <f t="shared" si="3"/>
        <v>0.040326327066564298</v>
      </c>
    </row>
    <row r="210" ht="14.4">
      <c r="A210" s="25" t="s">
        <v>328</v>
      </c>
      <c r="B210" s="26" t="s">
        <v>23</v>
      </c>
      <c r="C210" s="27">
        <v>46001</v>
      </c>
      <c r="D210" s="26" t="s">
        <v>38</v>
      </c>
      <c r="E210" s="26" t="s">
        <v>553</v>
      </c>
      <c r="F210" s="26" t="s">
        <v>554</v>
      </c>
      <c r="G210" s="28">
        <v>7126</v>
      </c>
      <c r="H210" s="28">
        <v>484</v>
      </c>
      <c r="I210" s="28">
        <v>565</v>
      </c>
      <c r="J210" s="28">
        <v>573</v>
      </c>
      <c r="K210" s="29">
        <v>7389</v>
      </c>
      <c r="L210" s="28">
        <v>237096</v>
      </c>
      <c r="M210" s="26" t="s">
        <v>21</v>
      </c>
      <c r="N210" s="30">
        <f t="shared" si="3"/>
        <v>0.034479704423524597</v>
      </c>
    </row>
    <row r="211" ht="14.4">
      <c r="A211" s="25" t="s">
        <v>327</v>
      </c>
      <c r="B211" s="26" t="s">
        <v>510</v>
      </c>
      <c r="C211" s="27">
        <v>45971</v>
      </c>
      <c r="D211" s="26" t="s">
        <v>38</v>
      </c>
      <c r="E211" s="26" t="s">
        <v>553</v>
      </c>
      <c r="F211" s="26" t="s">
        <v>554</v>
      </c>
      <c r="G211" s="28">
        <v>15623</v>
      </c>
      <c r="H211" s="28">
        <v>869</v>
      </c>
      <c r="I211" s="28">
        <v>423</v>
      </c>
      <c r="J211" s="28">
        <v>371</v>
      </c>
      <c r="K211" s="29">
        <v>47579</v>
      </c>
      <c r="L211" s="28">
        <v>158516</v>
      </c>
      <c r="M211" s="26" t="s">
        <v>21</v>
      </c>
      <c r="N211" s="30">
        <f t="shared" si="3"/>
        <v>0.106708471069167</v>
      </c>
    </row>
    <row r="212" ht="14.4">
      <c r="A212" s="25" t="s">
        <v>63</v>
      </c>
      <c r="B212" s="26" t="s">
        <v>511</v>
      </c>
      <c r="C212" s="27">
        <v>45523</v>
      </c>
      <c r="D212" s="26" t="s">
        <v>15</v>
      </c>
      <c r="E212" s="26" t="s">
        <v>553</v>
      </c>
      <c r="F212" s="26" t="s">
        <v>554</v>
      </c>
      <c r="G212" s="28">
        <v>15550</v>
      </c>
      <c r="H212" s="28">
        <v>204</v>
      </c>
      <c r="I212" s="28">
        <v>279</v>
      </c>
      <c r="J212" s="28">
        <v>1646</v>
      </c>
      <c r="K212" s="29">
        <v>35819</v>
      </c>
      <c r="L212" s="28">
        <v>219436</v>
      </c>
      <c r="M212" s="26" t="s">
        <v>17</v>
      </c>
      <c r="N212" s="30">
        <f t="shared" si="3"/>
        <v>0.073064583751070902</v>
      </c>
    </row>
    <row r="213" ht="14.4">
      <c r="A213" s="25" t="s">
        <v>326</v>
      </c>
      <c r="B213" s="26" t="s">
        <v>23</v>
      </c>
      <c r="C213" s="27">
        <v>45488</v>
      </c>
      <c r="D213" s="26" t="s">
        <v>15</v>
      </c>
      <c r="E213" s="26" t="s">
        <v>555</v>
      </c>
      <c r="F213" s="26" t="s">
        <v>560</v>
      </c>
      <c r="G213" s="28">
        <v>17034</v>
      </c>
      <c r="H213" s="28">
        <v>231</v>
      </c>
      <c r="I213" s="28">
        <v>290</v>
      </c>
      <c r="J213" s="28">
        <v>1387</v>
      </c>
      <c r="K213" s="29">
        <v>63550</v>
      </c>
      <c r="L213" s="28">
        <v>198280</v>
      </c>
      <c r="M213" s="26" t="s">
        <v>55</v>
      </c>
      <c r="N213" s="30">
        <f t="shared" si="3"/>
        <v>0.088536413153116805</v>
      </c>
    </row>
    <row r="214" ht="14.4">
      <c r="A214" s="25" t="s">
        <v>325</v>
      </c>
      <c r="B214" s="26" t="s">
        <v>510</v>
      </c>
      <c r="C214" s="27">
        <v>45940</v>
      </c>
      <c r="D214" s="26" t="s">
        <v>38</v>
      </c>
      <c r="E214" s="26" t="s">
        <v>564</v>
      </c>
      <c r="F214" s="26" t="s">
        <v>565</v>
      </c>
      <c r="G214" s="28">
        <v>6621</v>
      </c>
      <c r="H214" s="28">
        <v>922</v>
      </c>
      <c r="I214" s="28">
        <v>930</v>
      </c>
      <c r="J214" s="28">
        <v>694</v>
      </c>
      <c r="K214" s="29">
        <v>839</v>
      </c>
      <c r="L214" s="28">
        <v>243532</v>
      </c>
      <c r="M214" s="26" t="s">
        <v>21</v>
      </c>
      <c r="N214" s="30">
        <f t="shared" si="3"/>
        <v>0.034792142305733999</v>
      </c>
    </row>
    <row r="215" ht="14.4">
      <c r="A215" s="25" t="s">
        <v>323</v>
      </c>
      <c r="B215" s="26" t="s">
        <v>510</v>
      </c>
      <c r="C215" s="27">
        <v>45572</v>
      </c>
      <c r="D215" s="26" t="s">
        <v>15</v>
      </c>
      <c r="E215" s="26" t="s">
        <v>566</v>
      </c>
      <c r="F215" s="26" t="s">
        <v>35</v>
      </c>
      <c r="G215" s="28">
        <v>8809</v>
      </c>
      <c r="H215" s="28">
        <v>1151</v>
      </c>
      <c r="I215" s="28">
        <v>908</v>
      </c>
      <c r="J215" s="28">
        <v>883</v>
      </c>
      <c r="K215" s="29">
        <v>42921</v>
      </c>
      <c r="L215" s="28">
        <v>151279</v>
      </c>
      <c r="M215" s="26" t="s">
        <v>55</v>
      </c>
      <c r="N215" s="30">
        <f t="shared" si="3"/>
        <v>0.071840771025720701</v>
      </c>
    </row>
    <row r="216" ht="14.4">
      <c r="A216" s="25" t="s">
        <v>322</v>
      </c>
      <c r="B216" s="26" t="s">
        <v>46</v>
      </c>
      <c r="C216" s="27">
        <v>45910</v>
      </c>
      <c r="D216" s="26" t="s">
        <v>38</v>
      </c>
      <c r="E216" s="26" t="s">
        <v>564</v>
      </c>
      <c r="F216" s="26" t="s">
        <v>565</v>
      </c>
      <c r="G216" s="28">
        <v>18748</v>
      </c>
      <c r="H216" s="28">
        <v>634</v>
      </c>
      <c r="I216" s="28">
        <v>400</v>
      </c>
      <c r="J216" s="28">
        <v>1667</v>
      </c>
      <c r="K216" s="29">
        <v>75813</v>
      </c>
      <c r="L216" s="28">
        <v>244456</v>
      </c>
      <c r="M216" s="26" t="s">
        <v>21</v>
      </c>
      <c r="N216" s="30">
        <f t="shared" si="3"/>
        <v>0.080922538207284705</v>
      </c>
    </row>
    <row r="217" ht="14.4">
      <c r="A217" s="25" t="s">
        <v>321</v>
      </c>
      <c r="B217" s="26" t="s">
        <v>511</v>
      </c>
      <c r="C217" s="27">
        <v>45879</v>
      </c>
      <c r="D217" s="26" t="s">
        <v>25</v>
      </c>
      <c r="E217" s="26" t="s">
        <v>555</v>
      </c>
      <c r="F217" s="26" t="s">
        <v>560</v>
      </c>
      <c r="G217" s="28">
        <v>17745</v>
      </c>
      <c r="H217" s="28">
        <v>414</v>
      </c>
      <c r="I217" s="28">
        <v>563</v>
      </c>
      <c r="J217" s="28">
        <v>2733</v>
      </c>
      <c r="K217" s="29">
        <v>995</v>
      </c>
      <c r="L217" s="28">
        <v>231648</v>
      </c>
      <c r="M217" s="26" t="s">
        <v>21</v>
      </c>
      <c r="N217" s="30">
        <f t="shared" si="3"/>
        <v>0.080820900676889101</v>
      </c>
    </row>
    <row r="218" ht="14.4">
      <c r="A218" s="25" t="s">
        <v>320</v>
      </c>
      <c r="B218" s="26" t="s">
        <v>511</v>
      </c>
      <c r="C218" s="27">
        <v>45465</v>
      </c>
      <c r="D218" s="26" t="s">
        <v>38</v>
      </c>
      <c r="E218" s="26" t="s">
        <v>562</v>
      </c>
      <c r="F218" s="26" t="s">
        <v>563</v>
      </c>
      <c r="G218" s="28">
        <v>13479</v>
      </c>
      <c r="H218" s="28">
        <v>1189</v>
      </c>
      <c r="I218" s="28">
        <v>695</v>
      </c>
      <c r="J218" s="28">
        <v>416</v>
      </c>
      <c r="K218" s="29">
        <v>30229</v>
      </c>
      <c r="L218" s="28">
        <v>45704</v>
      </c>
      <c r="M218" s="26" t="s">
        <v>17</v>
      </c>
      <c r="N218" s="30">
        <f t="shared" si="3"/>
        <v>0.33614125678277601</v>
      </c>
    </row>
    <row r="219" ht="14.4">
      <c r="A219" s="25" t="s">
        <v>318</v>
      </c>
      <c r="B219" s="26" t="s">
        <v>510</v>
      </c>
      <c r="C219" s="27">
        <v>45424</v>
      </c>
      <c r="D219" s="26" t="s">
        <v>25</v>
      </c>
      <c r="E219" s="26" t="s">
        <v>555</v>
      </c>
      <c r="F219" s="26" t="s">
        <v>560</v>
      </c>
      <c r="G219" s="28">
        <v>4125</v>
      </c>
      <c r="H219" s="28">
        <v>1364</v>
      </c>
      <c r="I219" s="28">
        <v>319</v>
      </c>
      <c r="J219" s="28">
        <v>2848</v>
      </c>
      <c r="K219" s="29">
        <v>15379</v>
      </c>
      <c r="L219" s="28">
        <v>188159</v>
      </c>
      <c r="M219" s="26" t="s">
        <v>55</v>
      </c>
      <c r="N219" s="30">
        <f t="shared" si="3"/>
        <v>0.030867510988047301</v>
      </c>
    </row>
    <row r="220" ht="14.4">
      <c r="A220" s="25" t="s">
        <v>316</v>
      </c>
      <c r="B220" s="26" t="s">
        <v>23</v>
      </c>
      <c r="C220" s="27">
        <v>45518</v>
      </c>
      <c r="D220" s="26" t="s">
        <v>38</v>
      </c>
      <c r="E220" s="26" t="s">
        <v>551</v>
      </c>
      <c r="F220" s="26" t="s">
        <v>552</v>
      </c>
      <c r="G220" s="28">
        <v>10150</v>
      </c>
      <c r="H220" s="28">
        <v>526</v>
      </c>
      <c r="I220" s="28">
        <v>888</v>
      </c>
      <c r="J220" s="28">
        <v>1313</v>
      </c>
      <c r="K220" s="29">
        <v>51605</v>
      </c>
      <c r="L220" s="28">
        <v>143409</v>
      </c>
      <c r="M220" s="26" t="s">
        <v>17</v>
      </c>
      <c r="N220" s="30">
        <f t="shared" si="3"/>
        <v>0.080636501195880297</v>
      </c>
    </row>
    <row r="221" ht="14.4">
      <c r="A221" s="25" t="s">
        <v>314</v>
      </c>
      <c r="B221" s="26" t="s">
        <v>511</v>
      </c>
      <c r="C221" s="27">
        <v>45657</v>
      </c>
      <c r="D221" s="26" t="s">
        <v>15</v>
      </c>
      <c r="E221" s="26" t="s">
        <v>562</v>
      </c>
      <c r="F221" s="26" t="s">
        <v>563</v>
      </c>
      <c r="G221" s="28">
        <v>10717</v>
      </c>
      <c r="H221" s="28">
        <v>760</v>
      </c>
      <c r="I221" s="28">
        <v>460</v>
      </c>
      <c r="J221" s="28">
        <v>1316</v>
      </c>
      <c r="K221" s="29">
        <v>18164</v>
      </c>
      <c r="L221" s="28">
        <v>240641</v>
      </c>
      <c r="M221" s="26" t="s">
        <v>55</v>
      </c>
      <c r="N221" s="30">
        <f t="shared" si="3"/>
        <v>0.0496050132770392</v>
      </c>
    </row>
    <row r="222" ht="14.4">
      <c r="A222" s="25" t="s">
        <v>312</v>
      </c>
      <c r="B222" s="26" t="s">
        <v>46</v>
      </c>
      <c r="C222" s="27">
        <v>45775</v>
      </c>
      <c r="D222" s="26" t="s">
        <v>38</v>
      </c>
      <c r="E222" s="26" t="s">
        <v>566</v>
      </c>
      <c r="F222" s="26" t="s">
        <v>35</v>
      </c>
      <c r="G222" s="28">
        <v>15013</v>
      </c>
      <c r="H222" s="28">
        <v>1286</v>
      </c>
      <c r="I222" s="28">
        <v>599</v>
      </c>
      <c r="J222" s="28">
        <v>2001</v>
      </c>
      <c r="K222" s="29">
        <v>67839</v>
      </c>
      <c r="L222" s="28">
        <v>76059</v>
      </c>
      <c r="M222" s="26" t="s">
        <v>17</v>
      </c>
      <c r="N222" s="30">
        <f t="shared" si="3"/>
        <v>0.22216963147030599</v>
      </c>
    </row>
    <row r="223" ht="14.4">
      <c r="A223" s="25" t="s">
        <v>60</v>
      </c>
      <c r="B223" s="26" t="s">
        <v>511</v>
      </c>
      <c r="C223" s="27">
        <v>45782</v>
      </c>
      <c r="D223" s="26" t="s">
        <v>25</v>
      </c>
      <c r="E223" s="26" t="s">
        <v>555</v>
      </c>
      <c r="F223" s="26" t="s">
        <v>560</v>
      </c>
      <c r="G223" s="28">
        <v>10415</v>
      </c>
      <c r="H223" s="28">
        <v>1388</v>
      </c>
      <c r="I223" s="28">
        <v>725</v>
      </c>
      <c r="J223" s="28">
        <v>2462</v>
      </c>
      <c r="K223" s="29">
        <v>53082</v>
      </c>
      <c r="L223" s="28">
        <v>168267</v>
      </c>
      <c r="M223" s="26" t="s">
        <v>55</v>
      </c>
      <c r="N223" s="30">
        <f t="shared" si="3"/>
        <v>0.074453101321114698</v>
      </c>
    </row>
    <row r="224" ht="14.4">
      <c r="A224" s="25" t="s">
        <v>310</v>
      </c>
      <c r="B224" s="26" t="s">
        <v>510</v>
      </c>
      <c r="C224" s="27">
        <v>45363</v>
      </c>
      <c r="D224" s="26" t="s">
        <v>15</v>
      </c>
      <c r="E224" s="26" t="s">
        <v>549</v>
      </c>
      <c r="F224" s="26" t="s">
        <v>550</v>
      </c>
      <c r="G224" s="28">
        <v>2055</v>
      </c>
      <c r="H224" s="28">
        <v>675</v>
      </c>
      <c r="I224" s="28">
        <v>257</v>
      </c>
      <c r="J224" s="28">
        <v>820</v>
      </c>
      <c r="K224" s="29">
        <v>33534</v>
      </c>
      <c r="L224" s="28">
        <v>48125</v>
      </c>
      <c r="M224" s="26" t="s">
        <v>17</v>
      </c>
      <c r="N224" s="30">
        <f t="shared" si="3"/>
        <v>0.0620675324675325</v>
      </c>
    </row>
    <row r="225" ht="14.4">
      <c r="A225" s="25" t="s">
        <v>308</v>
      </c>
      <c r="B225" s="26" t="s">
        <v>510</v>
      </c>
      <c r="C225" s="27">
        <v>45637</v>
      </c>
      <c r="D225" s="26" t="s">
        <v>15</v>
      </c>
      <c r="E225" s="26" t="s">
        <v>558</v>
      </c>
      <c r="F225" s="26" t="s">
        <v>559</v>
      </c>
      <c r="G225" s="28">
        <v>19022</v>
      </c>
      <c r="H225" s="28">
        <v>541</v>
      </c>
      <c r="I225" s="28">
        <v>575</v>
      </c>
      <c r="J225" s="28">
        <v>2063</v>
      </c>
      <c r="K225" s="29">
        <v>42743</v>
      </c>
      <c r="L225" s="28">
        <v>150169</v>
      </c>
      <c r="M225" s="26" t="s">
        <v>17</v>
      </c>
      <c r="N225" s="30">
        <f t="shared" si="3"/>
        <v>0.134102244804187</v>
      </c>
    </row>
    <row r="226" ht="14.4">
      <c r="A226" s="25" t="s">
        <v>307</v>
      </c>
      <c r="B226" s="26" t="s">
        <v>511</v>
      </c>
      <c r="C226" s="27">
        <v>45624</v>
      </c>
      <c r="D226" s="26" t="s">
        <v>38</v>
      </c>
      <c r="E226" s="26" t="s">
        <v>555</v>
      </c>
      <c r="F226" s="26" t="s">
        <v>560</v>
      </c>
      <c r="G226" s="28">
        <v>2302</v>
      </c>
      <c r="H226" s="28">
        <v>347</v>
      </c>
      <c r="I226" s="28">
        <v>642</v>
      </c>
      <c r="J226" s="28">
        <v>2175</v>
      </c>
      <c r="K226" s="29">
        <v>56378</v>
      </c>
      <c r="L226" s="28">
        <v>198056</v>
      </c>
      <c r="M226" s="26" t="s">
        <v>55</v>
      </c>
      <c r="N226" s="30">
        <f t="shared" si="3"/>
        <v>0.016616512501514701</v>
      </c>
    </row>
    <row r="227" ht="14.4">
      <c r="A227" s="25" t="s">
        <v>305</v>
      </c>
      <c r="B227" s="26" t="s">
        <v>23</v>
      </c>
      <c r="C227" s="27">
        <v>45704</v>
      </c>
      <c r="D227" s="26" t="s">
        <v>25</v>
      </c>
      <c r="E227" s="26" t="s">
        <v>555</v>
      </c>
      <c r="F227" s="26" t="s">
        <v>560</v>
      </c>
      <c r="G227" s="28">
        <v>24195</v>
      </c>
      <c r="H227" s="28">
        <v>888</v>
      </c>
      <c r="I227" s="28">
        <v>165</v>
      </c>
      <c r="J227" s="28">
        <v>1559</v>
      </c>
      <c r="K227" s="29">
        <v>11596</v>
      </c>
      <c r="L227" s="28">
        <v>249988</v>
      </c>
      <c r="M227" s="26" t="s">
        <v>27</v>
      </c>
      <c r="N227" s="30">
        <f t="shared" si="3"/>
        <v>0.100996847848697</v>
      </c>
    </row>
    <row r="228" ht="14.4">
      <c r="A228" s="25" t="s">
        <v>304</v>
      </c>
      <c r="B228" s="26" t="s">
        <v>46</v>
      </c>
      <c r="C228" s="27">
        <v>45848</v>
      </c>
      <c r="D228" s="26" t="s">
        <v>38</v>
      </c>
      <c r="E228" s="26" t="s">
        <v>553</v>
      </c>
      <c r="F228" s="26" t="s">
        <v>554</v>
      </c>
      <c r="G228" s="28">
        <v>19660</v>
      </c>
      <c r="H228" s="28">
        <v>1307</v>
      </c>
      <c r="I228" s="28">
        <v>310</v>
      </c>
      <c r="J228" s="28">
        <v>2802</v>
      </c>
      <c r="K228" s="29">
        <v>22171</v>
      </c>
      <c r="L228" s="28">
        <v>213359</v>
      </c>
      <c r="M228" s="26" t="s">
        <v>21</v>
      </c>
      <c r="N228" s="30">
        <f t="shared" si="3"/>
        <v>0.099723939463533307</v>
      </c>
    </row>
    <row r="229" ht="14.4">
      <c r="A229" s="25" t="s">
        <v>303</v>
      </c>
      <c r="B229" s="26" t="s">
        <v>511</v>
      </c>
      <c r="C229" s="27">
        <v>45715</v>
      </c>
      <c r="D229" s="26" t="s">
        <v>15</v>
      </c>
      <c r="E229" s="26" t="s">
        <v>558</v>
      </c>
      <c r="F229" s="26" t="s">
        <v>559</v>
      </c>
      <c r="G229" s="28">
        <v>16178</v>
      </c>
      <c r="H229" s="28">
        <v>1048</v>
      </c>
      <c r="I229" s="28">
        <v>871</v>
      </c>
      <c r="J229" s="28">
        <v>2553</v>
      </c>
      <c r="K229" s="29">
        <v>39025</v>
      </c>
      <c r="L229" s="28">
        <v>59508</v>
      </c>
      <c r="M229" s="26" t="s">
        <v>17</v>
      </c>
      <c r="N229" s="30">
        <f t="shared" si="3"/>
        <v>0.30411037171472699</v>
      </c>
    </row>
    <row r="230" ht="14.4">
      <c r="A230" s="25" t="s">
        <v>301</v>
      </c>
      <c r="B230" s="26" t="s">
        <v>511</v>
      </c>
      <c r="C230" s="27">
        <v>45873</v>
      </c>
      <c r="D230" s="26" t="s">
        <v>30</v>
      </c>
      <c r="E230" s="26" t="s">
        <v>562</v>
      </c>
      <c r="F230" s="26" t="s">
        <v>563</v>
      </c>
      <c r="G230" s="28">
        <v>15568</v>
      </c>
      <c r="H230" s="28">
        <v>1166</v>
      </c>
      <c r="I230" s="28">
        <v>546</v>
      </c>
      <c r="J230" s="28">
        <v>826</v>
      </c>
      <c r="K230" s="29">
        <v>21836</v>
      </c>
      <c r="L230" s="28">
        <v>87055</v>
      </c>
      <c r="M230" s="26" t="s">
        <v>17</v>
      </c>
      <c r="N230" s="30">
        <f t="shared" si="3"/>
        <v>0.19849520418126501</v>
      </c>
    </row>
    <row r="231" ht="14.4">
      <c r="A231" s="25" t="s">
        <v>299</v>
      </c>
      <c r="B231" s="26" t="s">
        <v>23</v>
      </c>
      <c r="C231" s="27">
        <v>45661</v>
      </c>
      <c r="D231" s="26" t="s">
        <v>15</v>
      </c>
      <c r="E231" s="26" t="s">
        <v>549</v>
      </c>
      <c r="F231" s="26" t="s">
        <v>550</v>
      </c>
      <c r="G231" s="28">
        <v>6432</v>
      </c>
      <c r="H231" s="28">
        <v>1272</v>
      </c>
      <c r="I231" s="28">
        <v>498</v>
      </c>
      <c r="J231" s="28">
        <v>677</v>
      </c>
      <c r="K231" s="29">
        <v>47305</v>
      </c>
      <c r="L231" s="28">
        <v>119134</v>
      </c>
      <c r="M231" s="26" t="s">
        <v>17</v>
      </c>
      <c r="N231" s="30">
        <f t="shared" si="3"/>
        <v>0.068846844729464299</v>
      </c>
    </row>
    <row r="232" ht="14.4">
      <c r="A232" s="25" t="s">
        <v>298</v>
      </c>
      <c r="B232" s="26" t="s">
        <v>510</v>
      </c>
      <c r="C232" s="27">
        <v>45818</v>
      </c>
      <c r="D232" s="26" t="s">
        <v>30</v>
      </c>
      <c r="E232" s="26" t="s">
        <v>564</v>
      </c>
      <c r="F232" s="26" t="s">
        <v>565</v>
      </c>
      <c r="G232" s="28">
        <v>22028</v>
      </c>
      <c r="H232" s="28">
        <v>355</v>
      </c>
      <c r="I232" s="28">
        <v>665</v>
      </c>
      <c r="J232" s="28">
        <v>1859</v>
      </c>
      <c r="K232" s="29">
        <v>50565</v>
      </c>
      <c r="L232" s="28">
        <v>202962</v>
      </c>
      <c r="M232" s="26" t="s">
        <v>21</v>
      </c>
      <c r="N232" s="30">
        <f t="shared" si="3"/>
        <v>0.11355820301337199</v>
      </c>
    </row>
    <row r="233" ht="14.4">
      <c r="A233" s="25" t="s">
        <v>296</v>
      </c>
      <c r="B233" s="26" t="s">
        <v>511</v>
      </c>
      <c r="C233" s="27">
        <v>45528</v>
      </c>
      <c r="D233" s="26" t="s">
        <v>25</v>
      </c>
      <c r="E233" s="26" t="s">
        <v>566</v>
      </c>
      <c r="F233" s="26" t="s">
        <v>35</v>
      </c>
      <c r="G233" s="28">
        <v>22527</v>
      </c>
      <c r="H233" s="28">
        <v>865</v>
      </c>
      <c r="I233" s="28">
        <v>646</v>
      </c>
      <c r="J233" s="28">
        <v>992</v>
      </c>
      <c r="K233" s="29">
        <v>18654</v>
      </c>
      <c r="L233" s="28">
        <v>141376</v>
      </c>
      <c r="M233" s="26" t="s">
        <v>55</v>
      </c>
      <c r="N233" s="30">
        <f t="shared" si="3"/>
        <v>0.170028859212313</v>
      </c>
    </row>
    <row r="234" ht="14.4">
      <c r="A234" s="25" t="s">
        <v>58</v>
      </c>
      <c r="B234" s="26" t="s">
        <v>23</v>
      </c>
      <c r="C234" s="27">
        <v>45530</v>
      </c>
      <c r="D234" s="26" t="s">
        <v>38</v>
      </c>
      <c r="E234" s="26" t="s">
        <v>553</v>
      </c>
      <c r="F234" s="26" t="s">
        <v>554</v>
      </c>
      <c r="G234" s="28">
        <v>4193</v>
      </c>
      <c r="H234" s="28">
        <v>924</v>
      </c>
      <c r="I234" s="28">
        <v>707</v>
      </c>
      <c r="J234" s="28">
        <v>2696</v>
      </c>
      <c r="K234" s="29">
        <v>55075</v>
      </c>
      <c r="L234" s="28">
        <v>126652</v>
      </c>
      <c r="M234" s="26" t="s">
        <v>32</v>
      </c>
      <c r="N234" s="30">
        <f t="shared" si="3"/>
        <v>0.045984271863057799</v>
      </c>
    </row>
    <row r="235" ht="14.4">
      <c r="A235" s="25" t="s">
        <v>295</v>
      </c>
      <c r="B235" s="26" t="s">
        <v>23</v>
      </c>
      <c r="C235" s="27">
        <v>45787</v>
      </c>
      <c r="D235" s="26" t="s">
        <v>25</v>
      </c>
      <c r="E235" s="26" t="s">
        <v>549</v>
      </c>
      <c r="F235" s="26" t="s">
        <v>550</v>
      </c>
      <c r="G235" s="28">
        <v>21262</v>
      </c>
      <c r="H235" s="28">
        <v>861</v>
      </c>
      <c r="I235" s="28">
        <v>676</v>
      </c>
      <c r="J235" s="28">
        <v>2263</v>
      </c>
      <c r="K235" s="29">
        <v>12085</v>
      </c>
      <c r="L235" s="28">
        <v>201731</v>
      </c>
      <c r="M235" s="26" t="s">
        <v>21</v>
      </c>
      <c r="N235" s="30">
        <f t="shared" si="3"/>
        <v>0.113016839256237</v>
      </c>
    </row>
    <row r="236" ht="14.4">
      <c r="A236" s="25" t="s">
        <v>293</v>
      </c>
      <c r="B236" s="26" t="s">
        <v>46</v>
      </c>
      <c r="C236" s="27">
        <v>45604</v>
      </c>
      <c r="D236" s="26" t="s">
        <v>38</v>
      </c>
      <c r="E236" s="26" t="s">
        <v>558</v>
      </c>
      <c r="F236" s="26" t="s">
        <v>559</v>
      </c>
      <c r="G236" s="28">
        <v>14394</v>
      </c>
      <c r="H236" s="28">
        <v>1202</v>
      </c>
      <c r="I236" s="28">
        <v>188</v>
      </c>
      <c r="J236" s="28">
        <v>1259</v>
      </c>
      <c r="K236" s="29">
        <v>21925</v>
      </c>
      <c r="L236" s="28">
        <v>94061</v>
      </c>
      <c r="M236" s="26" t="s">
        <v>32</v>
      </c>
      <c r="N236" s="30">
        <f t="shared" si="3"/>
        <v>0.16780599823518799</v>
      </c>
    </row>
    <row r="237" ht="14.4">
      <c r="A237" s="25" t="s">
        <v>291</v>
      </c>
      <c r="B237" s="26" t="s">
        <v>510</v>
      </c>
      <c r="C237" s="27">
        <v>45496</v>
      </c>
      <c r="D237" s="26" t="s">
        <v>30</v>
      </c>
      <c r="E237" s="26" t="s">
        <v>566</v>
      </c>
      <c r="F237" s="26" t="s">
        <v>35</v>
      </c>
      <c r="G237" s="28">
        <v>24877</v>
      </c>
      <c r="H237" s="28">
        <v>262</v>
      </c>
      <c r="I237" s="28">
        <v>513</v>
      </c>
      <c r="J237" s="28">
        <v>648</v>
      </c>
      <c r="K237" s="29">
        <v>47544</v>
      </c>
      <c r="L237" s="28">
        <v>208280</v>
      </c>
      <c r="M237" s="26" t="s">
        <v>27</v>
      </c>
      <c r="N237" s="30">
        <f t="shared" si="3"/>
        <v>0.12316112924908799</v>
      </c>
    </row>
    <row r="238" ht="14.4">
      <c r="A238" s="25" t="s">
        <v>289</v>
      </c>
      <c r="B238" s="26" t="s">
        <v>46</v>
      </c>
      <c r="C238" s="27">
        <v>45587</v>
      </c>
      <c r="D238" s="26" t="s">
        <v>25</v>
      </c>
      <c r="E238" s="26" t="s">
        <v>549</v>
      </c>
      <c r="F238" s="26" t="s">
        <v>550</v>
      </c>
      <c r="G238" s="28">
        <v>12478</v>
      </c>
      <c r="H238" s="28">
        <v>484</v>
      </c>
      <c r="I238" s="28">
        <v>332</v>
      </c>
      <c r="J238" s="28">
        <v>2734</v>
      </c>
      <c r="K238" s="29">
        <v>43338</v>
      </c>
      <c r="L238" s="28">
        <v>213895</v>
      </c>
      <c r="M238" s="26" t="s">
        <v>32</v>
      </c>
      <c r="N238" s="30">
        <f t="shared" si="3"/>
        <v>0.062151990462610197</v>
      </c>
    </row>
    <row r="239" ht="14.4">
      <c r="A239" s="25" t="s">
        <v>287</v>
      </c>
      <c r="B239" s="26" t="s">
        <v>23</v>
      </c>
      <c r="C239" s="27">
        <v>45647</v>
      </c>
      <c r="D239" s="26" t="s">
        <v>15</v>
      </c>
      <c r="E239" s="26" t="s">
        <v>562</v>
      </c>
      <c r="F239" s="26" t="s">
        <v>563</v>
      </c>
      <c r="G239" s="28">
        <v>12453</v>
      </c>
      <c r="H239" s="28">
        <v>376</v>
      </c>
      <c r="I239" s="28">
        <v>320</v>
      </c>
      <c r="J239" s="28">
        <v>2546</v>
      </c>
      <c r="K239" s="29">
        <v>22617</v>
      </c>
      <c r="L239" s="28">
        <v>90138</v>
      </c>
      <c r="M239" s="26" t="s">
        <v>27</v>
      </c>
      <c r="N239" s="30">
        <f t="shared" si="3"/>
        <v>0.14587632297144401</v>
      </c>
    </row>
    <row r="240" ht="14.4">
      <c r="A240" s="25" t="s">
        <v>285</v>
      </c>
      <c r="B240" s="26" t="s">
        <v>510</v>
      </c>
      <c r="C240" s="27">
        <v>45545</v>
      </c>
      <c r="D240" s="26" t="s">
        <v>30</v>
      </c>
      <c r="E240" s="26" t="s">
        <v>557</v>
      </c>
      <c r="F240" s="26" t="s">
        <v>555</v>
      </c>
      <c r="G240" s="28">
        <v>7240</v>
      </c>
      <c r="H240" s="28">
        <v>1384</v>
      </c>
      <c r="I240" s="28">
        <v>954</v>
      </c>
      <c r="J240" s="28">
        <v>2335</v>
      </c>
      <c r="K240" s="29">
        <v>6757</v>
      </c>
      <c r="L240" s="28">
        <v>150448</v>
      </c>
      <c r="M240" s="26" t="s">
        <v>27</v>
      </c>
      <c r="N240" s="30">
        <f t="shared" si="3"/>
        <v>0.063663192598107002</v>
      </c>
    </row>
    <row r="241" ht="14.4">
      <c r="A241" s="25" t="s">
        <v>283</v>
      </c>
      <c r="B241" s="26" t="s">
        <v>23</v>
      </c>
      <c r="C241" s="27">
        <v>45658</v>
      </c>
      <c r="D241" s="26" t="s">
        <v>30</v>
      </c>
      <c r="E241" s="26" t="s">
        <v>558</v>
      </c>
      <c r="F241" s="26" t="s">
        <v>559</v>
      </c>
      <c r="G241" s="28">
        <v>24574</v>
      </c>
      <c r="H241" s="28">
        <v>909</v>
      </c>
      <c r="I241" s="28">
        <v>280</v>
      </c>
      <c r="J241" s="28">
        <v>2009</v>
      </c>
      <c r="K241" s="29">
        <v>6221</v>
      </c>
      <c r="L241" s="28">
        <v>236910</v>
      </c>
      <c r="M241" s="26" t="s">
        <v>55</v>
      </c>
      <c r="N241" s="30">
        <f t="shared" si="3"/>
        <v>0.108745937275759</v>
      </c>
    </row>
    <row r="242" ht="14.4">
      <c r="A242" s="25" t="s">
        <v>282</v>
      </c>
      <c r="B242" s="26" t="s">
        <v>510</v>
      </c>
      <c r="C242" s="27">
        <v>45757</v>
      </c>
      <c r="D242" s="26" t="s">
        <v>30</v>
      </c>
      <c r="E242" s="26" t="s">
        <v>551</v>
      </c>
      <c r="F242" s="26" t="s">
        <v>552</v>
      </c>
      <c r="G242" s="28">
        <v>12488</v>
      </c>
      <c r="H242" s="28">
        <v>1403</v>
      </c>
      <c r="I242" s="28">
        <v>247</v>
      </c>
      <c r="J242" s="28">
        <v>1350</v>
      </c>
      <c r="K242" s="29">
        <v>28370</v>
      </c>
      <c r="L242" s="28">
        <v>76487</v>
      </c>
      <c r="M242" s="26" t="s">
        <v>21</v>
      </c>
      <c r="N242" s="30">
        <f t="shared" si="3"/>
        <v>0.184841868552826</v>
      </c>
    </row>
    <row r="243" ht="14.4">
      <c r="A243" s="25" t="s">
        <v>281</v>
      </c>
      <c r="B243" s="26" t="s">
        <v>510</v>
      </c>
      <c r="C243" s="27">
        <v>45499</v>
      </c>
      <c r="D243" s="26" t="s">
        <v>30</v>
      </c>
      <c r="E243" s="26" t="s">
        <v>85</v>
      </c>
      <c r="F243" s="26" t="s">
        <v>561</v>
      </c>
      <c r="G243" s="28">
        <v>18282</v>
      </c>
      <c r="H243" s="28">
        <v>224</v>
      </c>
      <c r="I243" s="28">
        <v>962</v>
      </c>
      <c r="J243" s="28">
        <v>890</v>
      </c>
      <c r="K243" s="29">
        <v>35105</v>
      </c>
      <c r="L243" s="28">
        <v>64089</v>
      </c>
      <c r="M243" s="26" t="s">
        <v>32</v>
      </c>
      <c r="N243" s="30">
        <f t="shared" si="3"/>
        <v>0.30376507669022801</v>
      </c>
    </row>
    <row r="244" ht="14.4">
      <c r="A244" s="25" t="s">
        <v>279</v>
      </c>
      <c r="B244" s="26" t="s">
        <v>511</v>
      </c>
      <c r="C244" s="27">
        <v>45526</v>
      </c>
      <c r="D244" s="26" t="s">
        <v>30</v>
      </c>
      <c r="E244" s="26" t="s">
        <v>566</v>
      </c>
      <c r="F244" s="26" t="s">
        <v>35</v>
      </c>
      <c r="G244" s="28">
        <v>16124</v>
      </c>
      <c r="H244" s="28">
        <v>863</v>
      </c>
      <c r="I244" s="28">
        <v>337</v>
      </c>
      <c r="J244" s="28">
        <v>819</v>
      </c>
      <c r="K244" s="29">
        <v>85788</v>
      </c>
      <c r="L244" s="28">
        <v>68625</v>
      </c>
      <c r="M244" s="26" t="s">
        <v>32</v>
      </c>
      <c r="N244" s="30">
        <f t="shared" si="3"/>
        <v>0.25244444444444403</v>
      </c>
    </row>
    <row r="245" ht="14.4">
      <c r="A245" s="25" t="s">
        <v>57</v>
      </c>
      <c r="B245" s="26" t="s">
        <v>511</v>
      </c>
      <c r="C245" s="27">
        <v>45847</v>
      </c>
      <c r="D245" s="26" t="s">
        <v>25</v>
      </c>
      <c r="E245" s="26" t="s">
        <v>564</v>
      </c>
      <c r="F245" s="26" t="s">
        <v>565</v>
      </c>
      <c r="G245" s="28">
        <v>3015</v>
      </c>
      <c r="H245" s="28">
        <v>997</v>
      </c>
      <c r="I245" s="28">
        <v>783</v>
      </c>
      <c r="J245" s="28">
        <v>617</v>
      </c>
      <c r="K245" s="29">
        <v>77167</v>
      </c>
      <c r="L245" s="28">
        <v>82229</v>
      </c>
      <c r="M245" s="26" t="s">
        <v>21</v>
      </c>
      <c r="N245" s="30">
        <f t="shared" si="3"/>
        <v>0.0583127607048608</v>
      </c>
    </row>
    <row r="246" ht="14.4">
      <c r="A246" s="25" t="s">
        <v>277</v>
      </c>
      <c r="B246" s="26" t="s">
        <v>23</v>
      </c>
      <c r="C246" s="27">
        <v>45459</v>
      </c>
      <c r="D246" s="26" t="s">
        <v>25</v>
      </c>
      <c r="E246" s="26" t="s">
        <v>562</v>
      </c>
      <c r="F246" s="26" t="s">
        <v>563</v>
      </c>
      <c r="G246" s="28">
        <v>12160</v>
      </c>
      <c r="H246" s="28">
        <v>1405</v>
      </c>
      <c r="I246" s="28">
        <v>769</v>
      </c>
      <c r="J246" s="28">
        <v>1980</v>
      </c>
      <c r="K246" s="29">
        <v>33174</v>
      </c>
      <c r="L246" s="28">
        <v>226481</v>
      </c>
      <c r="M246" s="26" t="s">
        <v>17</v>
      </c>
      <c r="N246" s="30">
        <f t="shared" si="3"/>
        <v>0.063290077313328696</v>
      </c>
    </row>
    <row r="247" ht="14.4">
      <c r="A247" s="25" t="s">
        <v>276</v>
      </c>
      <c r="B247" s="26" t="s">
        <v>510</v>
      </c>
      <c r="C247" s="27">
        <v>45762</v>
      </c>
      <c r="D247" s="26" t="s">
        <v>30</v>
      </c>
      <c r="E247" s="26" t="s">
        <v>557</v>
      </c>
      <c r="F247" s="26" t="s">
        <v>555</v>
      </c>
      <c r="G247" s="28">
        <v>20977</v>
      </c>
      <c r="H247" s="28">
        <v>1402</v>
      </c>
      <c r="I247" s="28">
        <v>301</v>
      </c>
      <c r="J247" s="28">
        <v>1284</v>
      </c>
      <c r="K247" s="29">
        <v>24620</v>
      </c>
      <c r="L247" s="28">
        <v>128009</v>
      </c>
      <c r="M247" s="26" t="s">
        <v>17</v>
      </c>
      <c r="N247" s="30">
        <f t="shared" si="3"/>
        <v>0.177175042379833</v>
      </c>
    </row>
    <row r="248" ht="14.4">
      <c r="A248" s="25" t="s">
        <v>275</v>
      </c>
      <c r="B248" s="26" t="s">
        <v>510</v>
      </c>
      <c r="C248" s="27">
        <v>45586</v>
      </c>
      <c r="D248" s="26" t="s">
        <v>25</v>
      </c>
      <c r="E248" s="26" t="s">
        <v>557</v>
      </c>
      <c r="F248" s="26" t="s">
        <v>555</v>
      </c>
      <c r="G248" s="28">
        <v>20777</v>
      </c>
      <c r="H248" s="28">
        <v>962</v>
      </c>
      <c r="I248" s="28">
        <v>308</v>
      </c>
      <c r="J248" s="28">
        <v>2777</v>
      </c>
      <c r="K248" s="29">
        <v>25529</v>
      </c>
      <c r="L248" s="28">
        <v>165354</v>
      </c>
      <c r="M248" s="26" t="s">
        <v>17</v>
      </c>
      <c r="N248" s="30">
        <f t="shared" si="3"/>
        <v>0.13333212380710499</v>
      </c>
    </row>
    <row r="249" ht="14.4">
      <c r="A249" s="25" t="s">
        <v>273</v>
      </c>
      <c r="B249" s="26" t="s">
        <v>510</v>
      </c>
      <c r="C249" s="27">
        <v>45418</v>
      </c>
      <c r="D249" s="26" t="s">
        <v>25</v>
      </c>
      <c r="E249" s="26" t="s">
        <v>566</v>
      </c>
      <c r="F249" s="26" t="s">
        <v>35</v>
      </c>
      <c r="G249" s="28">
        <v>18907</v>
      </c>
      <c r="H249" s="28">
        <v>1075</v>
      </c>
      <c r="I249" s="28">
        <v>675</v>
      </c>
      <c r="J249" s="28">
        <v>1383</v>
      </c>
      <c r="K249" s="29">
        <v>17875</v>
      </c>
      <c r="L249" s="28">
        <v>186649</v>
      </c>
      <c r="M249" s="26" t="s">
        <v>17</v>
      </c>
      <c r="N249" s="30">
        <f t="shared" si="3"/>
        <v>0.110672974406506</v>
      </c>
    </row>
    <row r="250" ht="14.4">
      <c r="A250" s="25" t="s">
        <v>272</v>
      </c>
      <c r="B250" s="26" t="s">
        <v>511</v>
      </c>
      <c r="C250" s="27">
        <v>45634</v>
      </c>
      <c r="D250" s="26" t="s">
        <v>38</v>
      </c>
      <c r="E250" s="26" t="s">
        <v>558</v>
      </c>
      <c r="F250" s="26" t="s">
        <v>559</v>
      </c>
      <c r="G250" s="28">
        <v>8376</v>
      </c>
      <c r="H250" s="28">
        <v>1154</v>
      </c>
      <c r="I250" s="28">
        <v>422</v>
      </c>
      <c r="J250" s="28">
        <v>1907</v>
      </c>
      <c r="K250" s="29">
        <v>36874</v>
      </c>
      <c r="L250" s="28">
        <v>218486</v>
      </c>
      <c r="M250" s="26" t="s">
        <v>27</v>
      </c>
      <c r="N250" s="30">
        <f t="shared" si="3"/>
        <v>0.045549829279679203</v>
      </c>
    </row>
    <row r="251" ht="14.4">
      <c r="A251" s="25" t="s">
        <v>271</v>
      </c>
      <c r="B251" s="26" t="s">
        <v>511</v>
      </c>
      <c r="C251" s="27">
        <v>45593</v>
      </c>
      <c r="D251" s="26" t="s">
        <v>38</v>
      </c>
      <c r="E251" s="26" t="s">
        <v>566</v>
      </c>
      <c r="F251" s="26" t="s">
        <v>35</v>
      </c>
      <c r="G251" s="28">
        <v>8981</v>
      </c>
      <c r="H251" s="28">
        <v>1138</v>
      </c>
      <c r="I251" s="28">
        <v>764</v>
      </c>
      <c r="J251" s="28">
        <v>2555</v>
      </c>
      <c r="K251" s="29">
        <v>92810</v>
      </c>
      <c r="L251" s="28">
        <v>88320</v>
      </c>
      <c r="M251" s="26" t="s">
        <v>55</v>
      </c>
      <c r="N251" s="30">
        <f t="shared" si="3"/>
        <v>0.123222373188406</v>
      </c>
    </row>
    <row r="252" ht="14.4">
      <c r="A252" s="25" t="s">
        <v>270</v>
      </c>
      <c r="B252" s="26" t="s">
        <v>511</v>
      </c>
      <c r="C252" s="27">
        <v>45332</v>
      </c>
      <c r="D252" s="26" t="s">
        <v>15</v>
      </c>
      <c r="E252" s="26" t="s">
        <v>564</v>
      </c>
      <c r="F252" s="26" t="s">
        <v>565</v>
      </c>
      <c r="G252" s="28">
        <v>15716</v>
      </c>
      <c r="H252" s="28">
        <v>839</v>
      </c>
      <c r="I252" s="28">
        <v>639</v>
      </c>
      <c r="J252" s="28">
        <v>2839</v>
      </c>
      <c r="K252" s="29">
        <v>349</v>
      </c>
      <c r="L252" s="28">
        <v>150677</v>
      </c>
      <c r="M252" s="26" t="s">
        <v>27</v>
      </c>
      <c r="N252" s="30">
        <f t="shared" si="3"/>
        <v>0.114111642785561</v>
      </c>
    </row>
    <row r="253" ht="14.4">
      <c r="A253" s="25" t="s">
        <v>268</v>
      </c>
      <c r="B253" s="26" t="s">
        <v>23</v>
      </c>
      <c r="C253" s="27">
        <v>45741</v>
      </c>
      <c r="D253" s="26" t="s">
        <v>38</v>
      </c>
      <c r="E253" s="26" t="s">
        <v>564</v>
      </c>
      <c r="F253" s="26" t="s">
        <v>565</v>
      </c>
      <c r="G253" s="28">
        <v>5900</v>
      </c>
      <c r="H253" s="28">
        <v>546</v>
      </c>
      <c r="I253" s="28">
        <v>592</v>
      </c>
      <c r="J253" s="28">
        <v>1594</v>
      </c>
      <c r="K253" s="29">
        <v>38627</v>
      </c>
      <c r="L253" s="28">
        <v>164398</v>
      </c>
      <c r="M253" s="26" t="s">
        <v>55</v>
      </c>
      <c r="N253" s="30">
        <f t="shared" si="3"/>
        <v>0.042810739790021798</v>
      </c>
    </row>
    <row r="254" ht="14.4">
      <c r="A254" s="25" t="s">
        <v>267</v>
      </c>
      <c r="B254" s="26" t="s">
        <v>511</v>
      </c>
      <c r="C254" s="27">
        <v>45726</v>
      </c>
      <c r="D254" s="26" t="s">
        <v>15</v>
      </c>
      <c r="E254" s="26" t="s">
        <v>557</v>
      </c>
      <c r="F254" s="26" t="s">
        <v>555</v>
      </c>
      <c r="G254" s="28">
        <v>6777</v>
      </c>
      <c r="H254" s="28">
        <v>617</v>
      </c>
      <c r="I254" s="28">
        <v>551</v>
      </c>
      <c r="J254" s="28">
        <v>2109</v>
      </c>
      <c r="K254" s="29">
        <v>18559</v>
      </c>
      <c r="L254" s="28">
        <v>208452</v>
      </c>
      <c r="M254" s="26" t="s">
        <v>21</v>
      </c>
      <c r="N254" s="30">
        <f t="shared" si="3"/>
        <v>0.0381142901003588</v>
      </c>
    </row>
    <row r="255" ht="14.4">
      <c r="A255" s="25" t="s">
        <v>265</v>
      </c>
      <c r="B255" s="26" t="s">
        <v>23</v>
      </c>
      <c r="C255" s="27">
        <v>45488</v>
      </c>
      <c r="D255" s="26" t="s">
        <v>25</v>
      </c>
      <c r="E255" s="26" t="s">
        <v>549</v>
      </c>
      <c r="F255" s="26" t="s">
        <v>550</v>
      </c>
      <c r="G255" s="28">
        <v>14891</v>
      </c>
      <c r="H255" s="28">
        <v>674</v>
      </c>
      <c r="I255" s="28">
        <v>521</v>
      </c>
      <c r="J255" s="28">
        <v>1091</v>
      </c>
      <c r="K255" s="29">
        <v>18101</v>
      </c>
      <c r="L255" s="28">
        <v>53669</v>
      </c>
      <c r="M255" s="26" t="s">
        <v>17</v>
      </c>
      <c r="N255" s="30">
        <f t="shared" si="3"/>
        <v>0.29972609886526702</v>
      </c>
    </row>
    <row r="256" ht="14.4">
      <c r="A256" s="25" t="s">
        <v>56</v>
      </c>
      <c r="B256" s="26" t="s">
        <v>510</v>
      </c>
      <c r="C256" s="27">
        <v>45817</v>
      </c>
      <c r="D256" s="26" t="s">
        <v>25</v>
      </c>
      <c r="E256" s="26" t="s">
        <v>553</v>
      </c>
      <c r="F256" s="26" t="s">
        <v>554</v>
      </c>
      <c r="G256" s="28">
        <v>7124</v>
      </c>
      <c r="H256" s="28">
        <v>469</v>
      </c>
      <c r="I256" s="28">
        <v>851</v>
      </c>
      <c r="J256" s="28">
        <v>2571</v>
      </c>
      <c r="K256" s="29">
        <v>33802</v>
      </c>
      <c r="L256" s="28">
        <v>216313</v>
      </c>
      <c r="M256" s="26" t="s">
        <v>21</v>
      </c>
      <c r="N256" s="30">
        <f t="shared" si="3"/>
        <v>0.0390360264986385</v>
      </c>
    </row>
    <row r="257" ht="14.4">
      <c r="A257" s="25" t="s">
        <v>263</v>
      </c>
      <c r="B257" s="26" t="s">
        <v>510</v>
      </c>
      <c r="C257" s="27">
        <v>45594</v>
      </c>
      <c r="D257" s="26" t="s">
        <v>25</v>
      </c>
      <c r="E257" s="26" t="s">
        <v>555</v>
      </c>
      <c r="F257" s="26" t="s">
        <v>560</v>
      </c>
      <c r="G257" s="28">
        <v>23969</v>
      </c>
      <c r="H257" s="28">
        <v>1433</v>
      </c>
      <c r="I257" s="28">
        <v>372</v>
      </c>
      <c r="J257" s="28">
        <v>1092</v>
      </c>
      <c r="K257" s="29">
        <v>32147</v>
      </c>
      <c r="L257" s="28">
        <v>145823</v>
      </c>
      <c r="M257" s="26" t="s">
        <v>27</v>
      </c>
      <c r="N257" s="30">
        <f t="shared" si="3"/>
        <v>0.17674852389540699</v>
      </c>
    </row>
    <row r="258" ht="14.4">
      <c r="A258" s="25" t="s">
        <v>262</v>
      </c>
      <c r="B258" s="26" t="s">
        <v>23</v>
      </c>
      <c r="C258" s="27">
        <v>45745</v>
      </c>
      <c r="D258" s="26" t="s">
        <v>38</v>
      </c>
      <c r="E258" s="26" t="s">
        <v>564</v>
      </c>
      <c r="F258" s="26" t="s">
        <v>565</v>
      </c>
      <c r="G258" s="28">
        <v>23508</v>
      </c>
      <c r="H258" s="28">
        <v>585</v>
      </c>
      <c r="I258" s="28">
        <v>743</v>
      </c>
      <c r="J258" s="28">
        <v>2155</v>
      </c>
      <c r="K258" s="29">
        <v>3704</v>
      </c>
      <c r="L258" s="28">
        <v>194268</v>
      </c>
      <c r="M258" s="26" t="s">
        <v>32</v>
      </c>
      <c r="N258" s="30">
        <f t="shared" ref="N258:N301" si="4">(G258+H258+I258)/L258</f>
        <v>0.12784400930673101</v>
      </c>
    </row>
    <row r="259" ht="14.4">
      <c r="A259" s="25" t="s">
        <v>261</v>
      </c>
      <c r="B259" s="26" t="s">
        <v>23</v>
      </c>
      <c r="C259" s="27">
        <v>45504</v>
      </c>
      <c r="D259" s="26" t="s">
        <v>38</v>
      </c>
      <c r="E259" s="26" t="s">
        <v>555</v>
      </c>
      <c r="F259" s="26" t="s">
        <v>556</v>
      </c>
      <c r="G259" s="28">
        <v>13314</v>
      </c>
      <c r="H259" s="28">
        <v>274</v>
      </c>
      <c r="I259" s="28">
        <v>626</v>
      </c>
      <c r="J259" s="28">
        <v>2280</v>
      </c>
      <c r="K259" s="29">
        <v>14639</v>
      </c>
      <c r="L259" s="28">
        <v>163008</v>
      </c>
      <c r="M259" s="26" t="s">
        <v>32</v>
      </c>
      <c r="N259" s="30">
        <f t="shared" si="4"/>
        <v>0.087198174322732594</v>
      </c>
    </row>
    <row r="260" ht="14.4">
      <c r="A260" s="25" t="s">
        <v>260</v>
      </c>
      <c r="B260" s="26" t="s">
        <v>23</v>
      </c>
      <c r="C260" s="27">
        <v>45698</v>
      </c>
      <c r="D260" s="26" t="s">
        <v>38</v>
      </c>
      <c r="E260" s="26" t="s">
        <v>564</v>
      </c>
      <c r="F260" s="26" t="s">
        <v>565</v>
      </c>
      <c r="G260" s="28">
        <v>12161</v>
      </c>
      <c r="H260" s="28">
        <v>736</v>
      </c>
      <c r="I260" s="28">
        <v>876</v>
      </c>
      <c r="J260" s="28">
        <v>1233</v>
      </c>
      <c r="K260" s="29">
        <v>21337</v>
      </c>
      <c r="L260" s="28">
        <v>50225</v>
      </c>
      <c r="M260" s="26" t="s">
        <v>21</v>
      </c>
      <c r="N260" s="30">
        <f t="shared" si="4"/>
        <v>0.27422598307615698</v>
      </c>
    </row>
    <row r="261" ht="14.4">
      <c r="A261" s="25" t="s">
        <v>258</v>
      </c>
      <c r="B261" s="26" t="s">
        <v>510</v>
      </c>
      <c r="C261" s="27">
        <v>45624</v>
      </c>
      <c r="D261" s="26" t="s">
        <v>38</v>
      </c>
      <c r="E261" s="26" t="s">
        <v>557</v>
      </c>
      <c r="F261" s="26" t="s">
        <v>555</v>
      </c>
      <c r="G261" s="28">
        <v>19055</v>
      </c>
      <c r="H261" s="28">
        <v>443</v>
      </c>
      <c r="I261" s="28">
        <v>976</v>
      </c>
      <c r="J261" s="28">
        <v>869</v>
      </c>
      <c r="K261" s="29">
        <v>75437</v>
      </c>
      <c r="L261" s="28">
        <v>161863</v>
      </c>
      <c r="M261" s="26" t="s">
        <v>27</v>
      </c>
      <c r="N261" s="30">
        <f t="shared" si="4"/>
        <v>0.12648968572187599</v>
      </c>
    </row>
    <row r="262" ht="14.4">
      <c r="A262" s="25" t="s">
        <v>257</v>
      </c>
      <c r="B262" s="26" t="s">
        <v>23</v>
      </c>
      <c r="C262" s="27">
        <v>45667</v>
      </c>
      <c r="D262" s="26" t="s">
        <v>38</v>
      </c>
      <c r="E262" s="26" t="s">
        <v>35</v>
      </c>
      <c r="F262" s="26" t="s">
        <v>561</v>
      </c>
      <c r="G262" s="28">
        <v>6188</v>
      </c>
      <c r="H262" s="28">
        <v>774</v>
      </c>
      <c r="I262" s="28">
        <v>647</v>
      </c>
      <c r="J262" s="28">
        <v>1830</v>
      </c>
      <c r="K262" s="29">
        <v>55436</v>
      </c>
      <c r="L262" s="28">
        <v>175542</v>
      </c>
      <c r="M262" s="26" t="s">
        <v>21</v>
      </c>
      <c r="N262" s="30">
        <f t="shared" si="4"/>
        <v>0.043345752013763103</v>
      </c>
    </row>
    <row r="263" ht="14.4">
      <c r="A263" s="25" t="s">
        <v>255</v>
      </c>
      <c r="B263" s="26" t="s">
        <v>23</v>
      </c>
      <c r="C263" s="27">
        <v>45810</v>
      </c>
      <c r="D263" s="26" t="s">
        <v>15</v>
      </c>
      <c r="E263" s="26" t="s">
        <v>562</v>
      </c>
      <c r="F263" s="26" t="s">
        <v>563</v>
      </c>
      <c r="G263" s="28">
        <v>2666</v>
      </c>
      <c r="H263" s="28">
        <v>1136</v>
      </c>
      <c r="I263" s="28">
        <v>989</v>
      </c>
      <c r="J263" s="28">
        <v>1710</v>
      </c>
      <c r="K263" s="29">
        <v>36467</v>
      </c>
      <c r="L263" s="28">
        <v>83753</v>
      </c>
      <c r="M263" s="26" t="s">
        <v>27</v>
      </c>
      <c r="N263" s="30">
        <f t="shared" si="4"/>
        <v>0.057203921053574198</v>
      </c>
    </row>
    <row r="264" ht="14.4">
      <c r="A264" s="25" t="s">
        <v>254</v>
      </c>
      <c r="B264" s="26" t="s">
        <v>23</v>
      </c>
      <c r="C264" s="27">
        <v>45750</v>
      </c>
      <c r="D264" s="26" t="s">
        <v>30</v>
      </c>
      <c r="E264" s="26" t="s">
        <v>558</v>
      </c>
      <c r="F264" s="26" t="s">
        <v>559</v>
      </c>
      <c r="G264" s="28">
        <v>5266</v>
      </c>
      <c r="H264" s="28">
        <v>316</v>
      </c>
      <c r="I264" s="28">
        <v>837</v>
      </c>
      <c r="J264" s="28">
        <v>2276</v>
      </c>
      <c r="K264" s="29">
        <v>20967</v>
      </c>
      <c r="L264" s="28">
        <v>41969</v>
      </c>
      <c r="M264" s="26" t="s">
        <v>55</v>
      </c>
      <c r="N264" s="30">
        <f t="shared" si="4"/>
        <v>0.15294622221163201</v>
      </c>
    </row>
    <row r="265" ht="14.4">
      <c r="A265" s="25" t="s">
        <v>253</v>
      </c>
      <c r="B265" s="26" t="s">
        <v>511</v>
      </c>
      <c r="C265" s="27">
        <v>45586</v>
      </c>
      <c r="D265" s="26" t="s">
        <v>15</v>
      </c>
      <c r="E265" s="26" t="s">
        <v>557</v>
      </c>
      <c r="F265" s="26" t="s">
        <v>555</v>
      </c>
      <c r="G265" s="28">
        <v>20271</v>
      </c>
      <c r="H265" s="28">
        <v>512</v>
      </c>
      <c r="I265" s="28">
        <v>286</v>
      </c>
      <c r="J265" s="28">
        <v>1982</v>
      </c>
      <c r="K265" s="29">
        <v>43225</v>
      </c>
      <c r="L265" s="28">
        <v>168335</v>
      </c>
      <c r="M265" s="26" t="s">
        <v>32</v>
      </c>
      <c r="N265" s="30">
        <f t="shared" si="4"/>
        <v>0.125161137018445</v>
      </c>
    </row>
    <row r="266" ht="14.4">
      <c r="A266" s="25" t="s">
        <v>251</v>
      </c>
      <c r="B266" s="26" t="s">
        <v>511</v>
      </c>
      <c r="C266" s="27">
        <v>45564</v>
      </c>
      <c r="D266" s="26" t="s">
        <v>38</v>
      </c>
      <c r="E266" s="26" t="s">
        <v>558</v>
      </c>
      <c r="F266" s="26" t="s">
        <v>559</v>
      </c>
      <c r="G266" s="28">
        <v>10472</v>
      </c>
      <c r="H266" s="28">
        <v>401</v>
      </c>
      <c r="I266" s="28">
        <v>668</v>
      </c>
      <c r="J266" s="28">
        <v>383</v>
      </c>
      <c r="K266" s="29">
        <v>37571</v>
      </c>
      <c r="L266" s="28">
        <v>249203</v>
      </c>
      <c r="M266" s="26" t="s">
        <v>27</v>
      </c>
      <c r="N266" s="30">
        <f t="shared" si="4"/>
        <v>0.046311641513143903</v>
      </c>
    </row>
    <row r="267" ht="14.4">
      <c r="A267" s="25" t="s">
        <v>53</v>
      </c>
      <c r="B267" s="26" t="s">
        <v>510</v>
      </c>
      <c r="C267" s="27">
        <v>45614</v>
      </c>
      <c r="D267" s="26" t="s">
        <v>38</v>
      </c>
      <c r="E267" s="26" t="s">
        <v>549</v>
      </c>
      <c r="F267" s="26" t="s">
        <v>550</v>
      </c>
      <c r="G267" s="28">
        <v>21255</v>
      </c>
      <c r="H267" s="28">
        <v>1452</v>
      </c>
      <c r="I267" s="28">
        <v>625</v>
      </c>
      <c r="J267" s="28">
        <v>1624</v>
      </c>
      <c r="K267" s="29">
        <v>21282</v>
      </c>
      <c r="L267" s="28">
        <v>57778</v>
      </c>
      <c r="M267" s="26" t="s">
        <v>55</v>
      </c>
      <c r="N267" s="30">
        <f t="shared" si="4"/>
        <v>0.40382152376336999</v>
      </c>
    </row>
    <row r="268" ht="14.4">
      <c r="A268" s="25" t="s">
        <v>250</v>
      </c>
      <c r="B268" s="26" t="s">
        <v>511</v>
      </c>
      <c r="C268" s="27">
        <v>45494</v>
      </c>
      <c r="D268" s="26" t="s">
        <v>15</v>
      </c>
      <c r="E268" s="26" t="s">
        <v>555</v>
      </c>
      <c r="F268" s="26" t="s">
        <v>556</v>
      </c>
      <c r="G268" s="28">
        <v>11911</v>
      </c>
      <c r="H268" s="28">
        <v>1360</v>
      </c>
      <c r="I268" s="28">
        <v>778</v>
      </c>
      <c r="J268" s="28">
        <v>1168</v>
      </c>
      <c r="K268" s="29">
        <v>16483</v>
      </c>
      <c r="L268" s="28">
        <v>72556</v>
      </c>
      <c r="M268" s="26" t="s">
        <v>27</v>
      </c>
      <c r="N268" s="30">
        <f t="shared" si="4"/>
        <v>0.19362974805667299</v>
      </c>
    </row>
    <row r="269" ht="14.4">
      <c r="A269" s="25" t="s">
        <v>248</v>
      </c>
      <c r="B269" s="26" t="s">
        <v>23</v>
      </c>
      <c r="C269" s="27">
        <v>45931</v>
      </c>
      <c r="D269" s="26" t="s">
        <v>38</v>
      </c>
      <c r="E269" s="26" t="s">
        <v>566</v>
      </c>
      <c r="F269" s="26" t="s">
        <v>35</v>
      </c>
      <c r="G269" s="28">
        <v>14647</v>
      </c>
      <c r="H269" s="28">
        <v>1168</v>
      </c>
      <c r="I269" s="28">
        <v>484</v>
      </c>
      <c r="J269" s="28">
        <v>2650</v>
      </c>
      <c r="K269" s="29">
        <v>27217</v>
      </c>
      <c r="L269" s="28">
        <v>144061</v>
      </c>
      <c r="M269" s="26" t="s">
        <v>32</v>
      </c>
      <c r="N269" s="30">
        <f t="shared" si="4"/>
        <v>0.113139572819847</v>
      </c>
    </row>
    <row r="270" ht="14.4">
      <c r="A270" s="25" t="s">
        <v>247</v>
      </c>
      <c r="B270" s="26" t="s">
        <v>46</v>
      </c>
      <c r="C270" s="27">
        <v>45684</v>
      </c>
      <c r="D270" s="26" t="s">
        <v>15</v>
      </c>
      <c r="E270" s="26" t="s">
        <v>555</v>
      </c>
      <c r="F270" s="26" t="s">
        <v>560</v>
      </c>
      <c r="G270" s="28">
        <v>24415</v>
      </c>
      <c r="H270" s="28">
        <v>860</v>
      </c>
      <c r="I270" s="28">
        <v>931</v>
      </c>
      <c r="J270" s="28">
        <v>320</v>
      </c>
      <c r="K270" s="29">
        <v>65049</v>
      </c>
      <c r="L270" s="28">
        <v>62911</v>
      </c>
      <c r="M270" s="26" t="s">
        <v>17</v>
      </c>
      <c r="N270" s="30">
        <f t="shared" si="4"/>
        <v>0.41655672298961999</v>
      </c>
    </row>
    <row r="271" ht="14.4">
      <c r="A271" s="25" t="s">
        <v>246</v>
      </c>
      <c r="B271" s="26" t="s">
        <v>511</v>
      </c>
      <c r="C271" s="27">
        <v>45744</v>
      </c>
      <c r="D271" s="26" t="s">
        <v>15</v>
      </c>
      <c r="E271" s="26" t="s">
        <v>553</v>
      </c>
      <c r="F271" s="26" t="s">
        <v>554</v>
      </c>
      <c r="G271" s="28">
        <v>13637</v>
      </c>
      <c r="H271" s="28">
        <v>1135</v>
      </c>
      <c r="I271" s="28">
        <v>540</v>
      </c>
      <c r="J271" s="28">
        <v>1288</v>
      </c>
      <c r="K271" s="29">
        <v>45183</v>
      </c>
      <c r="L271" s="28">
        <v>79062</v>
      </c>
      <c r="M271" s="26" t="s">
        <v>55</v>
      </c>
      <c r="N271" s="30">
        <f t="shared" si="4"/>
        <v>0.193670790012901</v>
      </c>
    </row>
    <row r="272" ht="14.4">
      <c r="A272" s="25" t="s">
        <v>244</v>
      </c>
      <c r="B272" s="26" t="s">
        <v>23</v>
      </c>
      <c r="C272" s="27">
        <v>45513</v>
      </c>
      <c r="D272" s="26" t="s">
        <v>38</v>
      </c>
      <c r="E272" s="26" t="s">
        <v>562</v>
      </c>
      <c r="F272" s="26" t="s">
        <v>563</v>
      </c>
      <c r="G272" s="28">
        <v>8090</v>
      </c>
      <c r="H272" s="28">
        <v>570</v>
      </c>
      <c r="I272" s="28">
        <v>399</v>
      </c>
      <c r="J272" s="28">
        <v>1862</v>
      </c>
      <c r="K272" s="29">
        <v>34088</v>
      </c>
      <c r="L272" s="28">
        <v>52115</v>
      </c>
      <c r="M272" s="26" t="s">
        <v>17</v>
      </c>
      <c r="N272" s="30">
        <f t="shared" si="4"/>
        <v>0.173827113115226</v>
      </c>
    </row>
    <row r="273" ht="14.4">
      <c r="A273" s="25" t="s">
        <v>242</v>
      </c>
      <c r="B273" s="26" t="s">
        <v>510</v>
      </c>
      <c r="C273" s="27">
        <v>45812</v>
      </c>
      <c r="D273" s="26" t="s">
        <v>25</v>
      </c>
      <c r="E273" s="26" t="s">
        <v>566</v>
      </c>
      <c r="F273" s="26" t="s">
        <v>35</v>
      </c>
      <c r="G273" s="28">
        <v>8238</v>
      </c>
      <c r="H273" s="28">
        <v>766</v>
      </c>
      <c r="I273" s="28">
        <v>235</v>
      </c>
      <c r="J273" s="28">
        <v>1273</v>
      </c>
      <c r="K273" s="29">
        <v>4706</v>
      </c>
      <c r="L273" s="28">
        <v>119141</v>
      </c>
      <c r="M273" s="26" t="s">
        <v>32</v>
      </c>
      <c r="N273" s="30">
        <f t="shared" si="4"/>
        <v>0.077546772311798601</v>
      </c>
    </row>
    <row r="274" ht="14.4">
      <c r="A274" s="25" t="s">
        <v>241</v>
      </c>
      <c r="B274" s="26" t="s">
        <v>46</v>
      </c>
      <c r="C274" s="27">
        <v>45457</v>
      </c>
      <c r="D274" s="26" t="s">
        <v>30</v>
      </c>
      <c r="E274" s="26" t="s">
        <v>555</v>
      </c>
      <c r="F274" s="26" t="s">
        <v>560</v>
      </c>
      <c r="G274" s="28">
        <v>17183</v>
      </c>
      <c r="H274" s="28">
        <v>1224</v>
      </c>
      <c r="I274" s="28">
        <v>943</v>
      </c>
      <c r="J274" s="28">
        <v>2010</v>
      </c>
      <c r="K274" s="29">
        <v>21481</v>
      </c>
      <c r="L274" s="28">
        <v>49110</v>
      </c>
      <c r="M274" s="26" t="s">
        <v>27</v>
      </c>
      <c r="N274" s="30">
        <f t="shared" si="4"/>
        <v>0.39401343921808202</v>
      </c>
    </row>
    <row r="275" ht="14.4">
      <c r="A275" s="25" t="s">
        <v>239</v>
      </c>
      <c r="B275" s="26" t="s">
        <v>23</v>
      </c>
      <c r="C275" s="27">
        <v>45332</v>
      </c>
      <c r="D275" s="26" t="s">
        <v>30</v>
      </c>
      <c r="E275" s="26" t="s">
        <v>566</v>
      </c>
      <c r="F275" s="26" t="s">
        <v>35</v>
      </c>
      <c r="G275" s="28">
        <v>9350</v>
      </c>
      <c r="H275" s="28">
        <v>1024</v>
      </c>
      <c r="I275" s="28">
        <v>550</v>
      </c>
      <c r="J275" s="28">
        <v>2123</v>
      </c>
      <c r="K275" s="29">
        <v>53916</v>
      </c>
      <c r="L275" s="28">
        <v>108785</v>
      </c>
      <c r="M275" s="26" t="s">
        <v>27</v>
      </c>
      <c r="N275" s="30">
        <f t="shared" si="4"/>
        <v>0.10041825619340899</v>
      </c>
    </row>
    <row r="276" ht="14.4">
      <c r="A276" s="25" t="s">
        <v>238</v>
      </c>
      <c r="B276" s="26" t="s">
        <v>511</v>
      </c>
      <c r="C276" s="27">
        <v>45502</v>
      </c>
      <c r="D276" s="26" t="s">
        <v>30</v>
      </c>
      <c r="E276" s="26" t="s">
        <v>562</v>
      </c>
      <c r="F276" s="26" t="s">
        <v>563</v>
      </c>
      <c r="G276" s="28">
        <v>19144</v>
      </c>
      <c r="H276" s="28">
        <v>1182</v>
      </c>
      <c r="I276" s="28">
        <v>860</v>
      </c>
      <c r="J276" s="28">
        <v>1398</v>
      </c>
      <c r="K276" s="29">
        <v>4185</v>
      </c>
      <c r="L276" s="28">
        <v>46570</v>
      </c>
      <c r="M276" s="26" t="s">
        <v>17</v>
      </c>
      <c r="N276" s="30">
        <f t="shared" si="4"/>
        <v>0.454928065278076</v>
      </c>
    </row>
    <row r="277" ht="14.4">
      <c r="A277" s="25" t="s">
        <v>237</v>
      </c>
      <c r="B277" s="26" t="s">
        <v>23</v>
      </c>
      <c r="C277" s="27">
        <v>45586</v>
      </c>
      <c r="D277" s="26" t="s">
        <v>30</v>
      </c>
      <c r="E277" s="26" t="s">
        <v>555</v>
      </c>
      <c r="F277" s="26" t="s">
        <v>556</v>
      </c>
      <c r="G277" s="28">
        <v>8254</v>
      </c>
      <c r="H277" s="28">
        <v>1405</v>
      </c>
      <c r="I277" s="28">
        <v>165</v>
      </c>
      <c r="J277" s="28">
        <v>2504</v>
      </c>
      <c r="K277" s="29">
        <v>8081</v>
      </c>
      <c r="L277" s="28">
        <v>177710</v>
      </c>
      <c r="M277" s="26" t="s">
        <v>17</v>
      </c>
      <c r="N277" s="30">
        <f t="shared" si="4"/>
        <v>0.055281075910190797</v>
      </c>
    </row>
    <row r="278" ht="14.4">
      <c r="A278" s="25" t="s">
        <v>51</v>
      </c>
      <c r="B278" s="26" t="s">
        <v>510</v>
      </c>
      <c r="C278" s="27">
        <v>45494</v>
      </c>
      <c r="D278" s="26" t="s">
        <v>25</v>
      </c>
      <c r="E278" s="26" t="s">
        <v>558</v>
      </c>
      <c r="F278" s="26" t="s">
        <v>559</v>
      </c>
      <c r="G278" s="28">
        <v>2009</v>
      </c>
      <c r="H278" s="28">
        <v>1072</v>
      </c>
      <c r="I278" s="28">
        <v>550</v>
      </c>
      <c r="J278" s="28">
        <v>1437</v>
      </c>
      <c r="K278" s="29">
        <v>22982</v>
      </c>
      <c r="L278" s="28">
        <v>69426</v>
      </c>
      <c r="M278" s="26" t="s">
        <v>32</v>
      </c>
      <c r="N278" s="30">
        <f t="shared" si="4"/>
        <v>0.052300290957278298</v>
      </c>
    </row>
    <row r="279" ht="14.4">
      <c r="A279" s="25" t="s">
        <v>235</v>
      </c>
      <c r="B279" s="26" t="s">
        <v>511</v>
      </c>
      <c r="C279" s="27">
        <v>45840</v>
      </c>
      <c r="D279" s="26" t="s">
        <v>38</v>
      </c>
      <c r="E279" s="26" t="s">
        <v>551</v>
      </c>
      <c r="F279" s="26" t="s">
        <v>552</v>
      </c>
      <c r="G279" s="28">
        <v>20290</v>
      </c>
      <c r="H279" s="28">
        <v>619</v>
      </c>
      <c r="I279" s="28">
        <v>927</v>
      </c>
      <c r="J279" s="28">
        <v>1186</v>
      </c>
      <c r="K279" s="29">
        <v>8924</v>
      </c>
      <c r="L279" s="28">
        <v>96503</v>
      </c>
      <c r="M279" s="26" t="s">
        <v>55</v>
      </c>
      <c r="N279" s="30">
        <f t="shared" si="4"/>
        <v>0.22627275835984401</v>
      </c>
    </row>
    <row r="280" ht="14.4">
      <c r="A280" s="25" t="s">
        <v>234</v>
      </c>
      <c r="B280" s="26" t="s">
        <v>46</v>
      </c>
      <c r="C280" s="27">
        <v>45393</v>
      </c>
      <c r="D280" s="26" t="s">
        <v>30</v>
      </c>
      <c r="E280" s="26" t="s">
        <v>35</v>
      </c>
      <c r="F280" s="26" t="s">
        <v>561</v>
      </c>
      <c r="G280" s="28">
        <v>14234</v>
      </c>
      <c r="H280" s="28">
        <v>1013</v>
      </c>
      <c r="I280" s="28">
        <v>437</v>
      </c>
      <c r="J280" s="28">
        <v>338</v>
      </c>
      <c r="K280" s="29">
        <v>67754</v>
      </c>
      <c r="L280" s="28">
        <v>160030</v>
      </c>
      <c r="M280" s="26" t="s">
        <v>27</v>
      </c>
      <c r="N280" s="30">
        <f t="shared" si="4"/>
        <v>0.098006623758045405</v>
      </c>
    </row>
    <row r="281" ht="14.4">
      <c r="A281" s="25" t="s">
        <v>232</v>
      </c>
      <c r="B281" s="26" t="s">
        <v>23</v>
      </c>
      <c r="C281" s="27">
        <v>45393</v>
      </c>
      <c r="D281" s="26" t="s">
        <v>15</v>
      </c>
      <c r="E281" s="26" t="s">
        <v>555</v>
      </c>
      <c r="F281" s="26" t="s">
        <v>560</v>
      </c>
      <c r="G281" s="28">
        <v>14015</v>
      </c>
      <c r="H281" s="28">
        <v>978</v>
      </c>
      <c r="I281" s="28">
        <v>196</v>
      </c>
      <c r="J281" s="28">
        <v>2744</v>
      </c>
      <c r="K281" s="29">
        <v>20190</v>
      </c>
      <c r="L281" s="28">
        <v>186470</v>
      </c>
      <c r="M281" s="26" t="s">
        <v>27</v>
      </c>
      <c r="N281" s="30">
        <f t="shared" si="4"/>
        <v>0.081455462004611998</v>
      </c>
    </row>
    <row r="282" ht="14.4">
      <c r="A282" s="25" t="s">
        <v>230</v>
      </c>
      <c r="B282" s="26" t="s">
        <v>511</v>
      </c>
      <c r="C282" s="27">
        <v>45734</v>
      </c>
      <c r="D282" s="26" t="s">
        <v>15</v>
      </c>
      <c r="E282" s="26" t="s">
        <v>553</v>
      </c>
      <c r="F282" s="26" t="s">
        <v>554</v>
      </c>
      <c r="G282" s="28">
        <v>5818</v>
      </c>
      <c r="H282" s="28">
        <v>1252</v>
      </c>
      <c r="I282" s="28">
        <v>687</v>
      </c>
      <c r="J282" s="28">
        <v>2300</v>
      </c>
      <c r="K282" s="29">
        <v>25081</v>
      </c>
      <c r="L282" s="28">
        <v>101212</v>
      </c>
      <c r="M282" s="26" t="s">
        <v>55</v>
      </c>
      <c r="N282" s="30">
        <f t="shared" si="4"/>
        <v>0.076641109749832001</v>
      </c>
    </row>
    <row r="283" ht="14.4">
      <c r="A283" s="25" t="s">
        <v>229</v>
      </c>
      <c r="B283" s="26" t="s">
        <v>510</v>
      </c>
      <c r="C283" s="27">
        <v>45930</v>
      </c>
      <c r="D283" s="26" t="s">
        <v>25</v>
      </c>
      <c r="E283" s="26" t="s">
        <v>562</v>
      </c>
      <c r="F283" s="26" t="s">
        <v>563</v>
      </c>
      <c r="G283" s="28">
        <v>8269</v>
      </c>
      <c r="H283" s="28">
        <v>250</v>
      </c>
      <c r="I283" s="28">
        <v>638</v>
      </c>
      <c r="J283" s="28">
        <v>815</v>
      </c>
      <c r="K283" s="29">
        <v>41991</v>
      </c>
      <c r="L283" s="28">
        <v>129393</v>
      </c>
      <c r="M283" s="26" t="s">
        <v>21</v>
      </c>
      <c r="N283" s="30">
        <f t="shared" si="4"/>
        <v>0.070768897853825202</v>
      </c>
    </row>
    <row r="284" ht="14.4">
      <c r="A284" s="25" t="s">
        <v>227</v>
      </c>
      <c r="B284" s="26" t="s">
        <v>46</v>
      </c>
      <c r="C284" s="27">
        <v>45610</v>
      </c>
      <c r="D284" s="26" t="s">
        <v>15</v>
      </c>
      <c r="E284" s="26" t="s">
        <v>564</v>
      </c>
      <c r="F284" s="26" t="s">
        <v>565</v>
      </c>
      <c r="G284" s="28">
        <v>6300</v>
      </c>
      <c r="H284" s="28">
        <v>1213</v>
      </c>
      <c r="I284" s="28">
        <v>720</v>
      </c>
      <c r="J284" s="28">
        <v>1037</v>
      </c>
      <c r="K284" s="29">
        <v>39569</v>
      </c>
      <c r="L284" s="28">
        <v>85272</v>
      </c>
      <c r="M284" s="26" t="s">
        <v>32</v>
      </c>
      <c r="N284" s="30">
        <f t="shared" si="4"/>
        <v>0.096549863964724605</v>
      </c>
    </row>
    <row r="285" ht="14.4">
      <c r="A285" s="25" t="s">
        <v>226</v>
      </c>
      <c r="B285" s="26" t="s">
        <v>511</v>
      </c>
      <c r="C285" s="27">
        <v>45929</v>
      </c>
      <c r="D285" s="26" t="s">
        <v>30</v>
      </c>
      <c r="E285" s="26" t="s">
        <v>566</v>
      </c>
      <c r="F285" s="26" t="s">
        <v>35</v>
      </c>
      <c r="G285" s="28">
        <v>7569</v>
      </c>
      <c r="H285" s="28">
        <v>803</v>
      </c>
      <c r="I285" s="28">
        <v>804</v>
      </c>
      <c r="J285" s="28">
        <v>1753</v>
      </c>
      <c r="K285" s="29">
        <v>43582</v>
      </c>
      <c r="L285" s="28">
        <v>166945</v>
      </c>
      <c r="M285" s="26" t="s">
        <v>21</v>
      </c>
      <c r="N285" s="30">
        <f t="shared" si="4"/>
        <v>0.054964209769684601</v>
      </c>
    </row>
    <row r="286" ht="14.4">
      <c r="A286" s="25" t="s">
        <v>224</v>
      </c>
      <c r="B286" s="26" t="s">
        <v>510</v>
      </c>
      <c r="C286" s="27">
        <v>45422</v>
      </c>
      <c r="D286" s="26" t="s">
        <v>38</v>
      </c>
      <c r="E286" s="26" t="s">
        <v>558</v>
      </c>
      <c r="F286" s="26" t="s">
        <v>559</v>
      </c>
      <c r="G286" s="28">
        <v>16388</v>
      </c>
      <c r="H286" s="28">
        <v>1208</v>
      </c>
      <c r="I286" s="28">
        <v>417</v>
      </c>
      <c r="J286" s="28">
        <v>2306</v>
      </c>
      <c r="K286" s="29">
        <v>16865</v>
      </c>
      <c r="L286" s="28">
        <v>236733</v>
      </c>
      <c r="M286" s="26" t="s">
        <v>17</v>
      </c>
      <c r="N286" s="30">
        <f t="shared" si="4"/>
        <v>0.076089940988370894</v>
      </c>
    </row>
    <row r="287" ht="14.4">
      <c r="A287" s="25" t="s">
        <v>222</v>
      </c>
      <c r="B287" s="26" t="s">
        <v>511</v>
      </c>
      <c r="C287" s="27">
        <v>45619</v>
      </c>
      <c r="D287" s="26" t="s">
        <v>25</v>
      </c>
      <c r="E287" s="26" t="s">
        <v>35</v>
      </c>
      <c r="F287" s="26" t="s">
        <v>561</v>
      </c>
      <c r="G287" s="28">
        <v>9941</v>
      </c>
      <c r="H287" s="28">
        <v>1329</v>
      </c>
      <c r="I287" s="28">
        <v>238</v>
      </c>
      <c r="J287" s="28">
        <v>869</v>
      </c>
      <c r="K287" s="29">
        <v>40281</v>
      </c>
      <c r="L287" s="28">
        <v>172311</v>
      </c>
      <c r="M287" s="26" t="s">
        <v>27</v>
      </c>
      <c r="N287" s="30">
        <f t="shared" si="4"/>
        <v>0.066786217943137702</v>
      </c>
    </row>
    <row r="288" ht="14.4">
      <c r="A288" s="25" t="s">
        <v>220</v>
      </c>
      <c r="B288" s="26" t="s">
        <v>510</v>
      </c>
      <c r="C288" s="27">
        <v>45502</v>
      </c>
      <c r="D288" s="26" t="s">
        <v>30</v>
      </c>
      <c r="E288" s="26" t="s">
        <v>553</v>
      </c>
      <c r="F288" s="26" t="s">
        <v>554</v>
      </c>
      <c r="G288" s="28">
        <v>6164</v>
      </c>
      <c r="H288" s="28">
        <v>326</v>
      </c>
      <c r="I288" s="28">
        <v>615</v>
      </c>
      <c r="J288" s="28">
        <v>2806</v>
      </c>
      <c r="K288" s="29">
        <v>38579</v>
      </c>
      <c r="L288" s="28">
        <v>206129</v>
      </c>
      <c r="M288" s="26" t="s">
        <v>55</v>
      </c>
      <c r="N288" s="30">
        <f t="shared" si="4"/>
        <v>0.034468706489625398</v>
      </c>
    </row>
    <row r="289" ht="14.4">
      <c r="A289" s="25" t="s">
        <v>49</v>
      </c>
      <c r="B289" s="26" t="s">
        <v>510</v>
      </c>
      <c r="C289" s="27">
        <v>45690</v>
      </c>
      <c r="D289" s="26" t="s">
        <v>38</v>
      </c>
      <c r="E289" s="26" t="s">
        <v>555</v>
      </c>
      <c r="F289" s="26" t="s">
        <v>556</v>
      </c>
      <c r="G289" s="28">
        <v>12136</v>
      </c>
      <c r="H289" s="28">
        <v>1117</v>
      </c>
      <c r="I289" s="28">
        <v>834</v>
      </c>
      <c r="J289" s="28">
        <v>892</v>
      </c>
      <c r="K289" s="29">
        <v>24675</v>
      </c>
      <c r="L289" s="28">
        <v>183273</v>
      </c>
      <c r="M289" s="26" t="s">
        <v>27</v>
      </c>
      <c r="N289" s="30">
        <f t="shared" si="4"/>
        <v>0.076863476889667298</v>
      </c>
    </row>
    <row r="290" ht="14.4">
      <c r="A290" s="25" t="s">
        <v>218</v>
      </c>
      <c r="B290" s="26" t="s">
        <v>46</v>
      </c>
      <c r="C290" s="27">
        <v>45512</v>
      </c>
      <c r="D290" s="26" t="s">
        <v>38</v>
      </c>
      <c r="E290" s="26" t="s">
        <v>553</v>
      </c>
      <c r="F290" s="26" t="s">
        <v>554</v>
      </c>
      <c r="G290" s="28">
        <v>24355</v>
      </c>
      <c r="H290" s="28">
        <v>1087</v>
      </c>
      <c r="I290" s="28">
        <v>686</v>
      </c>
      <c r="J290" s="28">
        <v>2426</v>
      </c>
      <c r="K290" s="29">
        <v>24963</v>
      </c>
      <c r="L290" s="28">
        <v>212307</v>
      </c>
      <c r="M290" s="26" t="s">
        <v>17</v>
      </c>
      <c r="N290" s="30">
        <f t="shared" si="4"/>
        <v>0.123067067972323</v>
      </c>
    </row>
    <row r="291" ht="14.4">
      <c r="A291" s="25" t="s">
        <v>217</v>
      </c>
      <c r="B291" s="26" t="s">
        <v>511</v>
      </c>
      <c r="C291" s="27">
        <v>45928</v>
      </c>
      <c r="D291" s="26" t="s">
        <v>38</v>
      </c>
      <c r="E291" s="26" t="s">
        <v>553</v>
      </c>
      <c r="F291" s="26" t="s">
        <v>554</v>
      </c>
      <c r="G291" s="28">
        <v>21963</v>
      </c>
      <c r="H291" s="28">
        <v>1356</v>
      </c>
      <c r="I291" s="28">
        <v>349</v>
      </c>
      <c r="J291" s="28">
        <v>1206</v>
      </c>
      <c r="K291" s="29">
        <v>51755</v>
      </c>
      <c r="L291" s="28">
        <v>159273</v>
      </c>
      <c r="M291" s="26" t="s">
        <v>21</v>
      </c>
      <c r="N291" s="30">
        <f t="shared" si="4"/>
        <v>0.14860020216860401</v>
      </c>
    </row>
    <row r="292" ht="14.4">
      <c r="A292" s="25" t="s">
        <v>215</v>
      </c>
      <c r="B292" s="26" t="s">
        <v>46</v>
      </c>
      <c r="C292" s="27">
        <v>45464</v>
      </c>
      <c r="D292" s="26" t="s">
        <v>30</v>
      </c>
      <c r="E292" s="26" t="s">
        <v>555</v>
      </c>
      <c r="F292" s="26" t="s">
        <v>556</v>
      </c>
      <c r="G292" s="28">
        <v>21216</v>
      </c>
      <c r="H292" s="28">
        <v>1207</v>
      </c>
      <c r="I292" s="28">
        <v>859</v>
      </c>
      <c r="J292" s="28">
        <v>328</v>
      </c>
      <c r="K292" s="29">
        <v>91296</v>
      </c>
      <c r="L292" s="28">
        <v>196683</v>
      </c>
      <c r="M292" s="26" t="s">
        <v>27</v>
      </c>
      <c r="N292" s="30">
        <f t="shared" si="4"/>
        <v>0.118373219851233</v>
      </c>
    </row>
    <row r="293" ht="14.4">
      <c r="A293" s="25" t="s">
        <v>213</v>
      </c>
      <c r="B293" s="26" t="s">
        <v>46</v>
      </c>
      <c r="C293" s="27">
        <v>45749</v>
      </c>
      <c r="D293" s="26" t="s">
        <v>38</v>
      </c>
      <c r="E293" s="26" t="s">
        <v>553</v>
      </c>
      <c r="F293" s="26" t="s">
        <v>554</v>
      </c>
      <c r="G293" s="28">
        <v>23833</v>
      </c>
      <c r="H293" s="28">
        <v>555</v>
      </c>
      <c r="I293" s="28">
        <v>523</v>
      </c>
      <c r="J293" s="28">
        <v>1330</v>
      </c>
      <c r="K293" s="29">
        <v>69141</v>
      </c>
      <c r="L293" s="28">
        <v>73997</v>
      </c>
      <c r="M293" s="26" t="s">
        <v>32</v>
      </c>
      <c r="N293" s="30">
        <f t="shared" si="4"/>
        <v>0.33664878305877299</v>
      </c>
    </row>
    <row r="294" ht="14.4">
      <c r="A294" s="25" t="s">
        <v>211</v>
      </c>
      <c r="B294" s="26" t="s">
        <v>46</v>
      </c>
      <c r="C294" s="27">
        <v>45457</v>
      </c>
      <c r="D294" s="26" t="s">
        <v>38</v>
      </c>
      <c r="E294" s="26" t="s">
        <v>557</v>
      </c>
      <c r="F294" s="26" t="s">
        <v>555</v>
      </c>
      <c r="G294" s="28">
        <v>21856</v>
      </c>
      <c r="H294" s="28">
        <v>1203</v>
      </c>
      <c r="I294" s="28">
        <v>634</v>
      </c>
      <c r="J294" s="28">
        <v>2807</v>
      </c>
      <c r="K294" s="29">
        <v>3647</v>
      </c>
      <c r="L294" s="28">
        <v>104178</v>
      </c>
      <c r="M294" s="26" t="s">
        <v>32</v>
      </c>
      <c r="N294" s="30">
        <f t="shared" si="4"/>
        <v>0.22742805582752601</v>
      </c>
    </row>
    <row r="295" ht="14.4">
      <c r="A295" s="25" t="s">
        <v>209</v>
      </c>
      <c r="B295" s="26" t="s">
        <v>511</v>
      </c>
      <c r="C295" s="27">
        <v>45739</v>
      </c>
      <c r="D295" s="26" t="s">
        <v>15</v>
      </c>
      <c r="E295" s="26" t="s">
        <v>564</v>
      </c>
      <c r="F295" s="26" t="s">
        <v>565</v>
      </c>
      <c r="G295" s="28">
        <v>24711</v>
      </c>
      <c r="H295" s="28">
        <v>882</v>
      </c>
      <c r="I295" s="28">
        <v>876</v>
      </c>
      <c r="J295" s="28">
        <v>2728</v>
      </c>
      <c r="K295" s="29">
        <v>32015</v>
      </c>
      <c r="L295" s="28">
        <v>180272</v>
      </c>
      <c r="M295" s="26" t="s">
        <v>32</v>
      </c>
      <c r="N295" s="30">
        <f t="shared" si="4"/>
        <v>0.14682812638679299</v>
      </c>
    </row>
    <row r="296" ht="14.4">
      <c r="A296" s="25" t="s">
        <v>208</v>
      </c>
      <c r="B296" s="26" t="s">
        <v>46</v>
      </c>
      <c r="C296" s="27">
        <v>45927</v>
      </c>
      <c r="D296" s="26" t="s">
        <v>25</v>
      </c>
      <c r="E296" s="26" t="s">
        <v>558</v>
      </c>
      <c r="F296" s="26" t="s">
        <v>559</v>
      </c>
      <c r="G296" s="28">
        <v>18521</v>
      </c>
      <c r="H296" s="28">
        <v>1027</v>
      </c>
      <c r="I296" s="28">
        <v>230</v>
      </c>
      <c r="J296" s="28">
        <v>1247</v>
      </c>
      <c r="K296" s="29">
        <v>39588</v>
      </c>
      <c r="L296" s="28">
        <v>200928</v>
      </c>
      <c r="M296" s="26" t="s">
        <v>21</v>
      </c>
      <c r="N296" s="30">
        <f t="shared" si="4"/>
        <v>0.098433269628921793</v>
      </c>
    </row>
    <row r="297" ht="14.4">
      <c r="A297" s="25" t="s">
        <v>207</v>
      </c>
      <c r="B297" s="26" t="s">
        <v>46</v>
      </c>
      <c r="C297" s="27">
        <v>45926</v>
      </c>
      <c r="D297" s="26" t="s">
        <v>38</v>
      </c>
      <c r="E297" s="26" t="s">
        <v>35</v>
      </c>
      <c r="F297" s="26" t="s">
        <v>561</v>
      </c>
      <c r="G297" s="28">
        <v>9043</v>
      </c>
      <c r="H297" s="28">
        <v>1192</v>
      </c>
      <c r="I297" s="28">
        <v>810</v>
      </c>
      <c r="J297" s="28">
        <v>1550</v>
      </c>
      <c r="K297" s="29">
        <v>5221</v>
      </c>
      <c r="L297" s="28">
        <v>199476</v>
      </c>
      <c r="M297" s="26" t="s">
        <v>21</v>
      </c>
      <c r="N297" s="30">
        <f t="shared" si="4"/>
        <v>0.0553700695823056</v>
      </c>
    </row>
    <row r="298" ht="14.4">
      <c r="A298" s="25" t="s">
        <v>205</v>
      </c>
      <c r="B298" s="26" t="s">
        <v>510</v>
      </c>
      <c r="C298" s="27">
        <v>45583</v>
      </c>
      <c r="D298" s="26" t="s">
        <v>38</v>
      </c>
      <c r="E298" s="26" t="s">
        <v>558</v>
      </c>
      <c r="F298" s="26" t="s">
        <v>559</v>
      </c>
      <c r="G298" s="28">
        <v>6892</v>
      </c>
      <c r="H298" s="28">
        <v>1184</v>
      </c>
      <c r="I298" s="28">
        <v>925</v>
      </c>
      <c r="J298" s="28">
        <v>1062</v>
      </c>
      <c r="K298" s="29">
        <v>75008</v>
      </c>
      <c r="L298" s="28">
        <v>116260</v>
      </c>
      <c r="M298" s="26" t="s">
        <v>55</v>
      </c>
      <c r="N298" s="30">
        <f t="shared" si="4"/>
        <v>0.077421297092723204</v>
      </c>
    </row>
    <row r="299" ht="14.4">
      <c r="A299" s="25" t="s">
        <v>204</v>
      </c>
      <c r="B299" s="26" t="s">
        <v>23</v>
      </c>
      <c r="C299" s="27">
        <v>45925</v>
      </c>
      <c r="D299" s="26" t="s">
        <v>15</v>
      </c>
      <c r="E299" s="26" t="s">
        <v>35</v>
      </c>
      <c r="F299" s="26" t="s">
        <v>561</v>
      </c>
      <c r="G299" s="28">
        <v>20564</v>
      </c>
      <c r="H299" s="28">
        <v>1433</v>
      </c>
      <c r="I299" s="28">
        <v>488</v>
      </c>
      <c r="J299" s="28">
        <v>1015</v>
      </c>
      <c r="K299" s="29">
        <v>24333</v>
      </c>
      <c r="L299" s="28">
        <v>172130</v>
      </c>
      <c r="M299" s="26" t="s">
        <v>21</v>
      </c>
      <c r="N299" s="30">
        <f t="shared" si="4"/>
        <v>0.13062801371056801</v>
      </c>
    </row>
    <row r="300" ht="14.4">
      <c r="A300" s="25" t="s">
        <v>45</v>
      </c>
      <c r="B300" s="26" t="s">
        <v>46</v>
      </c>
      <c r="C300" s="27">
        <v>45964</v>
      </c>
      <c r="D300" s="26" t="s">
        <v>30</v>
      </c>
      <c r="E300" s="26" t="s">
        <v>557</v>
      </c>
      <c r="F300" s="26" t="s">
        <v>555</v>
      </c>
      <c r="G300" s="28">
        <v>20222</v>
      </c>
      <c r="H300" s="28">
        <v>712</v>
      </c>
      <c r="I300" s="28">
        <v>604</v>
      </c>
      <c r="J300" s="28">
        <v>1272</v>
      </c>
      <c r="K300" s="29">
        <v>71598</v>
      </c>
      <c r="L300" s="28">
        <v>216422</v>
      </c>
      <c r="M300" s="26" t="s">
        <v>27</v>
      </c>
      <c r="N300" s="30">
        <f t="shared" si="4"/>
        <v>0.099518533235992607</v>
      </c>
    </row>
    <row r="301" ht="14.4">
      <c r="A301" s="25" t="s">
        <v>12</v>
      </c>
      <c r="B301" s="26" t="s">
        <v>510</v>
      </c>
      <c r="C301" s="27">
        <v>45649</v>
      </c>
      <c r="D301" s="26" t="s">
        <v>15</v>
      </c>
      <c r="E301" s="26" t="s">
        <v>562</v>
      </c>
      <c r="F301" s="26" t="s">
        <v>563</v>
      </c>
      <c r="G301" s="28">
        <v>24516</v>
      </c>
      <c r="H301" s="28">
        <v>976</v>
      </c>
      <c r="I301" s="28">
        <v>974</v>
      </c>
      <c r="J301" s="28">
        <v>2675</v>
      </c>
      <c r="K301" s="29">
        <v>23275</v>
      </c>
      <c r="L301" s="28">
        <v>202932</v>
      </c>
      <c r="M301" s="26" t="s">
        <v>17</v>
      </c>
      <c r="N301" s="30">
        <f t="shared" si="4"/>
        <v>0.13041807107799699</v>
      </c>
    </row>
    <row r="302" ht="15.15">
      <c r="K302" s="31"/>
    </row>
    <row r="303" ht="15.15">
      <c r="K303" s="10"/>
    </row>
    <row r="304" ht="15.15">
      <c r="K304" s="10"/>
    </row>
    <row r="305" ht="15.15">
      <c r="K305" s="10"/>
    </row>
    <row r="306" ht="15.15">
      <c r="K306" s="10"/>
    </row>
    <row r="307" ht="15.15">
      <c r="K307" s="10"/>
    </row>
    <row r="308" ht="15.15">
      <c r="K308" s="10"/>
    </row>
    <row r="309" ht="15.15">
      <c r="K309" s="10"/>
    </row>
    <row r="310" ht="15.15">
      <c r="K310" s="10"/>
    </row>
    <row r="311" ht="15.15">
      <c r="K311" s="10"/>
    </row>
    <row r="312" ht="15.15">
      <c r="K312" s="10"/>
    </row>
    <row r="313" ht="15.15">
      <c r="K313" s="10"/>
    </row>
    <row r="314" ht="15.15">
      <c r="K314" s="10"/>
    </row>
    <row r="315" ht="15.15">
      <c r="K315" s="10"/>
    </row>
    <row r="316" ht="15.15">
      <c r="K316" s="10"/>
    </row>
    <row r="317" ht="15.15">
      <c r="K317" s="10"/>
    </row>
    <row r="318" ht="15.15">
      <c r="K318" s="10"/>
    </row>
    <row r="319" ht="15.15">
      <c r="K319" s="10"/>
    </row>
    <row r="320" ht="15.15">
      <c r="K320" s="10"/>
    </row>
    <row r="321" ht="15.15">
      <c r="K321" s="10"/>
    </row>
    <row r="322" ht="15.15">
      <c r="K322" s="10"/>
    </row>
    <row r="323" ht="15.15">
      <c r="K323" s="10"/>
    </row>
    <row r="324" ht="15.15">
      <c r="K324" s="10"/>
    </row>
    <row r="325" ht="15.15">
      <c r="K325" s="10"/>
    </row>
    <row r="326" ht="15.15">
      <c r="K326" s="10"/>
    </row>
    <row r="327" ht="15.15">
      <c r="K327" s="10"/>
    </row>
    <row r="328" ht="15.15">
      <c r="K328" s="10"/>
    </row>
    <row r="329" ht="15.15">
      <c r="K329" s="10"/>
    </row>
    <row r="330" ht="15.15">
      <c r="K330" s="10"/>
    </row>
    <row r="331" ht="15.15">
      <c r="K331" s="10"/>
    </row>
    <row r="332" ht="15.15">
      <c r="K332" s="10"/>
    </row>
    <row r="333" ht="15.15">
      <c r="K333" s="10"/>
    </row>
    <row r="334" ht="15.15">
      <c r="K334" s="10"/>
    </row>
    <row r="335" ht="15.15">
      <c r="K335" s="10"/>
    </row>
    <row r="336" ht="15.15">
      <c r="K336" s="10"/>
    </row>
    <row r="337" ht="15.15">
      <c r="K337" s="10"/>
    </row>
    <row r="338" ht="15.15">
      <c r="K338" s="10"/>
    </row>
    <row r="339" ht="15.15">
      <c r="K339" s="10"/>
    </row>
    <row r="340" ht="15.15">
      <c r="K340" s="10"/>
    </row>
    <row r="341" ht="15.15">
      <c r="K341" s="10"/>
    </row>
    <row r="342" ht="15.15">
      <c r="K342" s="10"/>
    </row>
    <row r="343" ht="15.15">
      <c r="K343" s="10"/>
    </row>
    <row r="344" ht="15.15">
      <c r="K344" s="10"/>
    </row>
    <row r="345" ht="15.15">
      <c r="K345" s="10"/>
    </row>
    <row r="346" ht="15.15">
      <c r="K346" s="10"/>
    </row>
    <row r="347" ht="15.15">
      <c r="K347" s="10"/>
    </row>
    <row r="348" ht="15.15">
      <c r="K348" s="10"/>
    </row>
    <row r="349" ht="15.15">
      <c r="K349" s="10"/>
    </row>
    <row r="350" ht="15.15">
      <c r="K350" s="10"/>
    </row>
    <row r="351" ht="15.15">
      <c r="K351" s="10"/>
    </row>
    <row r="352" ht="15.15">
      <c r="K352" s="10"/>
    </row>
    <row r="353" ht="15.15">
      <c r="K353" s="10"/>
    </row>
    <row r="354" ht="15.15">
      <c r="K354" s="10"/>
    </row>
    <row r="355" ht="15.15">
      <c r="K355" s="10"/>
    </row>
    <row r="356" ht="15.15">
      <c r="K356" s="10"/>
    </row>
    <row r="357" ht="15.15">
      <c r="K357" s="10"/>
    </row>
    <row r="358" ht="15.15">
      <c r="K358" s="10"/>
    </row>
    <row r="359" ht="15.15">
      <c r="K359" s="10"/>
    </row>
    <row r="360" ht="15.15">
      <c r="K360" s="10"/>
    </row>
    <row r="361" ht="15.15">
      <c r="K361" s="10"/>
    </row>
    <row r="362" ht="15.15">
      <c r="K362" s="10"/>
    </row>
    <row r="363" ht="15.15">
      <c r="K363" s="10"/>
    </row>
    <row r="364" ht="15.15">
      <c r="K364" s="10"/>
    </row>
    <row r="365" ht="15.15">
      <c r="K365" s="10"/>
    </row>
    <row r="366" ht="15.15">
      <c r="K366" s="10"/>
    </row>
    <row r="367" ht="15.15">
      <c r="K367" s="10"/>
    </row>
    <row r="368" ht="15.15">
      <c r="K368" s="10"/>
    </row>
    <row r="369" ht="15.15">
      <c r="K369" s="10"/>
    </row>
    <row r="370" ht="15.15">
      <c r="K370" s="10"/>
    </row>
    <row r="371" ht="15.15">
      <c r="K371" s="10"/>
    </row>
    <row r="372" ht="15.15">
      <c r="K372" s="10"/>
    </row>
    <row r="373" ht="15.15">
      <c r="K373" s="10"/>
    </row>
    <row r="374" ht="15.15">
      <c r="K374" s="10"/>
    </row>
    <row r="375" ht="15.15">
      <c r="K375" s="10"/>
    </row>
    <row r="376" ht="15.15">
      <c r="K376" s="10"/>
    </row>
    <row r="377" ht="15.15">
      <c r="K377" s="10"/>
    </row>
    <row r="378" ht="15.15">
      <c r="K378" s="10"/>
    </row>
    <row r="379" ht="15.15">
      <c r="K379" s="10"/>
    </row>
    <row r="380" ht="15.15">
      <c r="K380" s="10"/>
    </row>
    <row r="381" ht="15.15">
      <c r="K381" s="10"/>
    </row>
    <row r="382" ht="15.15">
      <c r="K382" s="10"/>
    </row>
    <row r="383" ht="15.15">
      <c r="K383" s="10"/>
    </row>
    <row r="384" ht="15.15">
      <c r="K384" s="10"/>
    </row>
    <row r="385" thickBot="1" ht="15.25">
      <c r="K385" s="10"/>
    </row>
    <row r="386" thickBot="1" ht="15.25">
      <c r="K386" s="10"/>
    </row>
    <row r="387" thickBot="1" ht="15.25">
      <c r="K387" s="10"/>
    </row>
    <row r="388" thickBot="1" ht="15.25">
      <c r="K388" s="10"/>
    </row>
    <row r="389" thickBot="1" ht="15.25">
      <c r="K389" s="10"/>
    </row>
    <row r="390" thickBot="1" ht="15.25">
      <c r="K390" s="10"/>
    </row>
    <row r="391" thickBot="1" ht="15.25">
      <c r="K391" s="10"/>
    </row>
    <row r="392" thickBot="1" ht="15.25">
      <c r="K392" s="10"/>
    </row>
    <row r="393" thickBot="1" ht="15.25">
      <c r="K393" s="10"/>
    </row>
    <row r="394" thickBot="1" ht="15.25">
      <c r="K394" s="10"/>
    </row>
    <row r="395" thickBot="1" ht="15.25">
      <c r="K395" s="10"/>
    </row>
    <row r="396" thickBot="1" ht="15.25">
      <c r="K396" s="10"/>
    </row>
    <row r="397" thickBot="1" ht="15.25">
      <c r="K397" s="10"/>
    </row>
    <row r="398" thickBot="1" ht="15.25">
      <c r="K398" s="10"/>
    </row>
    <row r="399" thickBot="1" ht="15.25">
      <c r="K399" s="10"/>
    </row>
    <row r="400" thickBot="1" ht="15.25">
      <c r="K400" s="10"/>
    </row>
    <row r="401" thickBot="1" ht="15.25">
      <c r="K401" s="10"/>
    </row>
    <row r="402" thickBot="1" ht="15.25">
      <c r="K402" s="10"/>
    </row>
    <row r="403" thickBot="1" ht="15.25">
      <c r="K403" s="10"/>
    </row>
    <row r="404" thickBot="1" ht="15.25">
      <c r="K404" s="10"/>
    </row>
    <row r="405" thickBot="1" ht="15.25">
      <c r="K405" s="10"/>
    </row>
    <row r="406" thickBot="1" ht="15.25">
      <c r="K406" s="10"/>
    </row>
    <row r="407" thickBot="1" ht="15.25">
      <c r="K407" s="10"/>
    </row>
    <row r="408" thickBot="1" ht="15.25">
      <c r="K408" s="10"/>
    </row>
    <row r="409" thickBot="1" ht="15.25">
      <c r="K409" s="10"/>
    </row>
    <row r="410" thickBot="1" ht="15.25">
      <c r="K410" s="10"/>
    </row>
    <row r="411" thickBot="1" ht="15.25">
      <c r="K411" s="10"/>
    </row>
    <row r="412" thickBot="1" ht="15.25">
      <c r="K412" s="10"/>
    </row>
    <row r="413" thickBot="1" ht="15.25">
      <c r="K413" s="10"/>
    </row>
    <row r="414" thickBot="1" ht="15.25">
      <c r="K414" s="10"/>
    </row>
    <row r="415" thickBot="1" ht="15.25">
      <c r="K415" s="10"/>
    </row>
    <row r="416" thickBot="1" ht="15.25">
      <c r="K416" s="10"/>
    </row>
    <row r="417" thickBot="1" ht="15.25">
      <c r="K417" s="10"/>
    </row>
    <row r="418" thickBot="1" ht="15.25">
      <c r="K418" s="10"/>
    </row>
    <row r="419" thickBot="1" ht="15.25">
      <c r="K419" s="10"/>
    </row>
    <row r="420" thickBot="1" ht="15.25">
      <c r="K420" s="10"/>
    </row>
    <row r="421" thickBot="1" ht="15.25">
      <c r="K421" s="10"/>
    </row>
    <row r="422" thickBot="1" ht="15.25">
      <c r="K422" s="10"/>
    </row>
    <row r="423" thickBot="1" ht="15.25">
      <c r="K423" s="10"/>
    </row>
    <row r="424" thickBot="1" ht="15.25">
      <c r="K424" s="10"/>
    </row>
    <row r="425" thickBot="1" ht="15.25">
      <c r="K425" s="10"/>
    </row>
    <row r="426" thickBot="1" ht="15.25">
      <c r="K426" s="10"/>
    </row>
    <row r="427" thickBot="1" ht="15.25">
      <c r="K427" s="10"/>
    </row>
    <row r="428" thickBot="1" ht="15.25">
      <c r="K428" s="10"/>
    </row>
    <row r="429" thickBot="1" ht="15.25">
      <c r="K429" s="10"/>
    </row>
    <row r="430" thickBot="1" ht="15.25">
      <c r="K430" s="10"/>
    </row>
    <row r="431" thickBot="1" ht="15.25">
      <c r="K431" s="10"/>
    </row>
    <row r="432" thickBot="1" ht="15.25">
      <c r="K432" s="10"/>
    </row>
    <row r="433" thickBot="1" ht="15.25">
      <c r="K433" s="10"/>
    </row>
    <row r="434" thickBot="1" ht="15.25">
      <c r="K434" s="10"/>
    </row>
    <row r="435" thickBot="1" ht="15.25">
      <c r="K435" s="10"/>
    </row>
    <row r="436" thickBot="1" ht="15.25">
      <c r="K436" s="10"/>
    </row>
    <row r="437" thickBot="1" ht="15.25">
      <c r="K437" s="10"/>
    </row>
    <row r="438" thickBot="1" ht="15.25">
      <c r="K438" s="10"/>
    </row>
    <row r="439" thickBot="1" ht="15.25">
      <c r="K439" s="10"/>
    </row>
    <row r="440" thickBot="1" ht="15.25">
      <c r="K440" s="10"/>
    </row>
    <row r="441" thickBot="1" ht="15.25">
      <c r="K441" s="10"/>
    </row>
    <row r="442" thickBot="1" ht="15.25">
      <c r="K442" s="10"/>
    </row>
    <row r="443" thickBot="1" ht="15.25">
      <c r="K443" s="10"/>
    </row>
    <row r="444" thickBot="1" ht="15.25">
      <c r="K444" s="10"/>
    </row>
    <row r="445" thickBot="1" ht="15.25">
      <c r="K445" s="10"/>
    </row>
    <row r="446" thickBot="1" ht="15.25">
      <c r="K446" s="10"/>
    </row>
    <row r="447" thickBot="1" ht="15.25">
      <c r="K447" s="10"/>
    </row>
    <row r="448" thickBot="1" ht="15.25">
      <c r="K448" s="10"/>
    </row>
    <row r="449" thickBot="1" ht="15.25">
      <c r="K449" s="10"/>
    </row>
    <row r="450" thickBot="1" ht="15.25">
      <c r="K450" s="10"/>
    </row>
    <row r="451" thickBot="1" ht="15.25">
      <c r="K451" s="10"/>
    </row>
    <row r="452" thickBot="1" ht="15.25">
      <c r="K452" s="10"/>
    </row>
    <row r="453" thickBot="1" ht="15.25">
      <c r="K453" s="10"/>
    </row>
    <row r="454" thickBot="1" ht="15.25">
      <c r="K454" s="10"/>
    </row>
    <row r="455" thickBot="1" ht="15.25">
      <c r="K455" s="10"/>
    </row>
    <row r="456" thickBot="1" ht="15.25">
      <c r="K456" s="10"/>
    </row>
    <row r="457" thickBot="1" ht="15.25">
      <c r="K457" s="10"/>
    </row>
    <row r="458" thickBot="1" ht="15.25">
      <c r="K458" s="10"/>
    </row>
    <row r="459" thickBot="1" ht="15.25">
      <c r="K459" s="10"/>
    </row>
    <row r="460" thickBot="1" ht="15.25">
      <c r="K460" s="10"/>
    </row>
    <row r="461" thickBot="1" ht="15.25">
      <c r="K461" s="10"/>
    </row>
    <row r="462" thickBot="1" ht="15.25">
      <c r="K462" s="10"/>
    </row>
    <row r="463" thickBot="1" ht="15.25">
      <c r="K463" s="10"/>
    </row>
    <row r="464" thickBot="1" ht="15.25">
      <c r="K464" s="10"/>
    </row>
    <row r="465" thickBot="1" ht="15.25">
      <c r="K465" s="10"/>
    </row>
    <row r="466" thickBot="1" ht="15.25">
      <c r="K466" s="10"/>
    </row>
    <row r="467" thickBot="1" ht="15.25">
      <c r="K467" s="10"/>
    </row>
    <row r="468" thickBot="1" ht="15.25">
      <c r="K468" s="10"/>
    </row>
    <row r="469" thickBot="1" ht="15.25">
      <c r="K469" s="10"/>
    </row>
    <row r="470" thickBot="1" ht="15.25">
      <c r="K470" s="10"/>
    </row>
    <row r="471" thickBot="1" ht="15.25">
      <c r="K471" s="10"/>
    </row>
    <row r="472" thickBot="1" ht="15.25">
      <c r="K472" s="10"/>
    </row>
    <row r="473" thickBot="1" ht="15.25">
      <c r="K473" s="10"/>
    </row>
    <row r="474" thickBot="1" ht="15.25">
      <c r="K474" s="10"/>
    </row>
    <row r="475" thickBot="1" ht="15.25">
      <c r="K475" s="10"/>
    </row>
    <row r="476" thickBot="1" ht="15.25">
      <c r="K476" s="10"/>
    </row>
    <row r="477" thickBot="1" ht="15.25">
      <c r="K477" s="10"/>
    </row>
    <row r="478" thickBot="1" ht="15.25">
      <c r="K478" s="10"/>
    </row>
    <row r="479" thickBot="1" ht="15.25">
      <c r="K479" s="10"/>
    </row>
    <row r="480" thickBot="1" ht="15.25">
      <c r="K480" s="10"/>
    </row>
    <row r="481" thickBot="1" ht="15.25">
      <c r="K481" s="10"/>
    </row>
    <row r="482" thickBot="1" ht="15.25">
      <c r="K482" s="10"/>
    </row>
    <row r="483" thickBot="1" ht="15.25">
      <c r="K483" s="10"/>
    </row>
    <row r="484" thickBot="1" ht="15.25">
      <c r="K484" s="10"/>
    </row>
    <row r="485" thickBot="1" ht="15.25">
      <c r="K485" s="10"/>
    </row>
    <row r="486" thickBot="1" ht="15.25">
      <c r="K486" s="10"/>
    </row>
    <row r="487" thickBot="1" ht="15.25">
      <c r="K487" s="10"/>
    </row>
    <row r="488" thickBot="1" ht="15.25">
      <c r="K488" s="10"/>
    </row>
    <row r="489" thickBot="1" ht="15.25">
      <c r="K489" s="10"/>
    </row>
    <row r="490" thickBot="1" ht="15.25">
      <c r="K490" s="10"/>
    </row>
    <row r="491" thickBot="1" ht="15.25">
      <c r="K491" s="10"/>
    </row>
    <row r="492" thickBot="1" ht="15.25">
      <c r="K492" s="10"/>
    </row>
    <row r="493" thickBot="1" ht="15.25">
      <c r="K493" s="10"/>
    </row>
    <row r="494" thickBot="1" ht="15.25">
      <c r="K494" s="10"/>
    </row>
    <row r="495" thickBot="1" ht="15.25">
      <c r="K495" s="10"/>
    </row>
    <row r="496" thickBot="1" ht="15.25">
      <c r="K496" s="10"/>
    </row>
    <row r="497" thickBot="1" ht="15.25">
      <c r="K497" s="10"/>
    </row>
    <row r="498" thickBot="1" ht="15.25">
      <c r="K498" s="10"/>
    </row>
    <row r="499" thickBot="1" ht="15.25">
      <c r="K499" s="10"/>
    </row>
    <row r="500" thickBot="1" ht="15.25">
      <c r="K500" s="10"/>
    </row>
    <row r="501" thickBot="1" ht="15.25">
      <c r="K501" s="10"/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theme="8" tint="0.4"/>
  </sheetPr>
  <sheetViews>
    <sheetView tabSelected="1" workbookViewId="0" topLeftCell="A31">
      <selection activeCell="D39" sqref="A39:E39"/>
    </sheetView>
  </sheetViews>
  <sheetFormatPr defaultColWidth="8.90625" defaultRowHeight="14.5"/>
  <cols>
    <col min="1" max="1" width="17.63281" customWidth="1"/>
    <col min="2" max="2" width="17.81641" customWidth="1"/>
    <col min="3" max="3" width="19.63281"/>
    <col min="4" max="5" width="28.63281"/>
    <col min="6" max="8" width="18.45313"/>
    <col min="9" max="9" width="19.63281"/>
    <col min="10" max="10" width="12.81641"/>
    <col min="11" max="11" width="16.63281"/>
    <col min="12" max="19" width="16.81641"/>
    <col min="20" max="20" width="30" customWidth="1"/>
    <col min="21" max="21" width="11.45313"/>
    <col min="22" max="22" width="19.63281"/>
    <col min="23" max="23" width="11.45313"/>
  </cols>
  <sheetData>
    <row r="1" ht="26" customHeight="1"/>
    <row r="2">
      <c r="A2" s="32" t="s">
        <v>567</v>
      </c>
      <c r="B2" s="32"/>
      <c r="C2" s="32"/>
      <c r="D2" s="32"/>
      <c r="F2" s="21" t="s">
        <v>568</v>
      </c>
      <c r="G2" s="21"/>
      <c r="H2" s="21"/>
    </row>
    <row r="3">
      <c r="A3" s="33" t="s">
        <v>1</v>
      </c>
      <c r="B3" s="33" t="s">
        <v>569</v>
      </c>
      <c r="C3" s="33" t="s">
        <v>570</v>
      </c>
      <c r="D3" s="33" t="s">
        <v>571</v>
      </c>
      <c r="F3" t="s">
        <v>547</v>
      </c>
      <c r="G3" t="s">
        <v>548</v>
      </c>
      <c r="H3" t="s">
        <v>572</v>
      </c>
    </row>
    <row r="4">
      <c r="A4" s="33" t="s">
        <v>23</v>
      </c>
      <c r="B4" s="34">
        <v>40786</v>
      </c>
      <c r="C4" s="34">
        <v>63205</v>
      </c>
      <c r="D4" s="34">
        <v>947196</v>
      </c>
      <c r="F4" t="s">
        <v>564</v>
      </c>
      <c r="H4">
        <v>1592.72</v>
      </c>
    </row>
    <row r="5">
      <c r="A5" s="33" t="s">
        <v>511</v>
      </c>
      <c r="B5" s="34">
        <v>49700</v>
      </c>
      <c r="C5" s="34">
        <v>70960</v>
      </c>
      <c r="D5" s="34">
        <v>1134366</v>
      </c>
      <c r="F5" t="s">
        <v>555</v>
      </c>
      <c r="H5">
        <v>1541.37254901961</v>
      </c>
    </row>
    <row r="6">
      <c r="A6" s="33" t="s">
        <v>46</v>
      </c>
      <c r="B6" s="34">
        <v>39273</v>
      </c>
      <c r="C6" s="34">
        <v>59661</v>
      </c>
      <c r="D6" s="34">
        <v>1037623</v>
      </c>
      <c r="F6" t="s">
        <v>549</v>
      </c>
      <c r="H6">
        <v>1463.2941176470599</v>
      </c>
    </row>
    <row r="7">
      <c r="A7" s="33" t="s">
        <v>510</v>
      </c>
      <c r="B7" s="34">
        <v>42629</v>
      </c>
      <c r="C7" s="34">
        <v>67460</v>
      </c>
      <c r="D7" s="34">
        <v>948258</v>
      </c>
      <c r="F7" t="s">
        <v>553</v>
      </c>
      <c r="H7">
        <v>1711.5135135135099</v>
      </c>
    </row>
    <row r="8">
      <c r="A8" s="33" t="s">
        <v>573</v>
      </c>
      <c r="B8" s="34">
        <v>172388</v>
      </c>
      <c r="C8" s="34">
        <v>261286</v>
      </c>
      <c r="D8" s="34">
        <v>4067443</v>
      </c>
      <c r="F8" t="s">
        <v>562</v>
      </c>
      <c r="H8">
        <v>1674.96</v>
      </c>
    </row>
    <row r="9">
      <c r="F9" t="s">
        <v>557</v>
      </c>
      <c r="H9">
        <v>1811.3103448275899</v>
      </c>
    </row>
    <row r="10">
      <c r="A10" s="35" t="s">
        <v>574</v>
      </c>
      <c r="B10" t="s">
        <v>575</v>
      </c>
      <c r="F10" t="s">
        <v>566</v>
      </c>
      <c r="H10">
        <v>1706.76</v>
      </c>
    </row>
    <row r="11">
      <c r="F11" t="s">
        <v>558</v>
      </c>
      <c r="H11">
        <v>1680.3571428571399</v>
      </c>
    </row>
    <row r="12">
      <c r="A12" s="32" t="s">
        <v>576</v>
      </c>
      <c r="B12" s="32"/>
      <c r="F12" t="s">
        <v>85</v>
      </c>
      <c r="H12">
        <v>1289.4117647058799</v>
      </c>
    </row>
    <row r="13">
      <c r="A13" s="36" t="s">
        <v>1</v>
      </c>
      <c r="B13" s="36" t="s">
        <v>577</v>
      </c>
      <c r="F13" t="s">
        <v>35</v>
      </c>
      <c r="H13">
        <v>1592.9375</v>
      </c>
    </row>
    <row r="14">
      <c r="A14" s="33" t="s">
        <v>23</v>
      </c>
      <c r="B14" s="33">
        <v>15.5592917988862</v>
      </c>
      <c r="F14" t="s">
        <v>551</v>
      </c>
      <c r="H14">
        <v>1459.3076923076901</v>
      </c>
    </row>
    <row r="15" ht="28" customHeight="1">
      <c r="A15" s="33" t="s">
        <v>511</v>
      </c>
      <c r="B15" s="33">
        <v>14.0679983248</v>
      </c>
      <c r="F15" t="s">
        <v>573</v>
      </c>
      <c r="H15">
        <v>1606.68333333333</v>
      </c>
    </row>
    <row r="16">
      <c r="A16" s="33" t="s">
        <v>46</v>
      </c>
      <c r="B16" s="33">
        <v>17.480513118999902</v>
      </c>
    </row>
    <row r="17">
      <c r="A17" s="33" t="s">
        <v>510</v>
      </c>
      <c r="B17" s="33">
        <v>17.599262914182201</v>
      </c>
    </row>
    <row r="18">
      <c r="A18" s="33" t="s">
        <v>573</v>
      </c>
      <c r="B18" s="33">
        <v>16.076503821978299</v>
      </c>
    </row>
    <row r="23">
      <c r="A23" s="37" t="s">
        <v>578</v>
      </c>
      <c r="B23" s="37"/>
    </row>
    <row r="24">
      <c r="A24" t="s">
        <v>547</v>
      </c>
      <c r="B24" t="s">
        <v>577</v>
      </c>
    </row>
    <row r="25">
      <c r="A25" t="s">
        <v>35</v>
      </c>
      <c r="B25">
        <v>0.15329917321810099</v>
      </c>
    </row>
    <row r="26">
      <c r="A26" t="s">
        <v>562</v>
      </c>
      <c r="B26">
        <v>0.14380411271271701</v>
      </c>
    </row>
    <row r="27">
      <c r="A27" t="s">
        <v>549</v>
      </c>
      <c r="B27">
        <v>0.134949473814135</v>
      </c>
    </row>
    <row r="28">
      <c r="A28" t="s">
        <v>555</v>
      </c>
      <c r="B28">
        <v>0.12077082795204699</v>
      </c>
    </row>
    <row r="29">
      <c r="A29" t="s">
        <v>566</v>
      </c>
      <c r="B29">
        <v>0.120266767739898</v>
      </c>
    </row>
    <row r="30">
      <c r="A30" t="s">
        <v>551</v>
      </c>
      <c r="B30">
        <v>0.120194622457953</v>
      </c>
    </row>
    <row r="31">
      <c r="A31" t="s">
        <v>558</v>
      </c>
      <c r="B31">
        <v>0.11789410371289</v>
      </c>
    </row>
    <row r="32">
      <c r="A32" t="s">
        <v>557</v>
      </c>
      <c r="B32">
        <v>0.114565798656072</v>
      </c>
    </row>
    <row r="33">
      <c r="A33" t="s">
        <v>553</v>
      </c>
      <c r="B33">
        <v>0.113997216769284</v>
      </c>
    </row>
    <row r="34">
      <c r="A34" t="s">
        <v>564</v>
      </c>
      <c r="B34">
        <v>0.111357413151509</v>
      </c>
    </row>
    <row r="35">
      <c r="A35" t="s">
        <v>85</v>
      </c>
      <c r="B35">
        <v>0.109555271285719</v>
      </c>
    </row>
    <row r="36">
      <c r="A36" t="s">
        <v>573</v>
      </c>
      <c r="B36">
        <v>0.122841327453629</v>
      </c>
    </row>
    <row r="39">
      <c r="A39" s="34" t="s">
        <v>579</v>
      </c>
      <c r="B39" s="34"/>
      <c r="C39" s="34"/>
      <c r="D39" s="34"/>
      <c r="E39" s="34"/>
      <c r="F39" s="33"/>
      <c r="G39" s="33"/>
    </row>
    <row r="40">
      <c r="A40" s="33" t="s">
        <v>173</v>
      </c>
      <c r="B40" s="33" t="s">
        <v>19</v>
      </c>
      <c r="C40" s="33" t="s">
        <v>30</v>
      </c>
      <c r="D40" s="33" t="s">
        <v>580</v>
      </c>
      <c r="E40" s="33" t="s">
        <v>550</v>
      </c>
      <c r="F40" s="33" t="s">
        <v>17</v>
      </c>
      <c r="G40" s="38">
        <v>0.49099999999999999</v>
      </c>
    </row>
    <row r="41">
      <c r="A41" s="33" t="s">
        <v>356</v>
      </c>
      <c r="B41" s="33" t="s">
        <v>13</v>
      </c>
      <c r="C41" s="33" t="s">
        <v>25</v>
      </c>
      <c r="D41" s="33" t="s">
        <v>35</v>
      </c>
      <c r="E41" s="33" t="s">
        <v>561</v>
      </c>
      <c r="F41" s="33" t="s">
        <v>32</v>
      </c>
      <c r="G41" s="38">
        <v>0.48799999999999999</v>
      </c>
    </row>
    <row r="42">
      <c r="A42" s="33" t="s">
        <v>238</v>
      </c>
      <c r="B42" s="33" t="s">
        <v>19</v>
      </c>
      <c r="C42" s="33" t="s">
        <v>30</v>
      </c>
      <c r="D42" s="33" t="s">
        <v>581</v>
      </c>
      <c r="E42" s="33" t="s">
        <v>563</v>
      </c>
      <c r="F42" s="33" t="s">
        <v>17</v>
      </c>
      <c r="G42" s="38">
        <v>0.45500000000000002</v>
      </c>
    </row>
    <row r="43">
      <c r="A43" s="33" t="s">
        <v>247</v>
      </c>
      <c r="B43" s="33" t="s">
        <v>46</v>
      </c>
      <c r="C43" s="33" t="s">
        <v>15</v>
      </c>
      <c r="D43" s="33" t="s">
        <v>582</v>
      </c>
      <c r="E43" s="33" t="s">
        <v>560</v>
      </c>
      <c r="F43" s="33" t="s">
        <v>17</v>
      </c>
      <c r="G43" s="38">
        <v>0.41699999999999998</v>
      </c>
    </row>
    <row r="44">
      <c r="A44" s="33" t="s">
        <v>53</v>
      </c>
      <c r="B44" s="33" t="s">
        <v>13</v>
      </c>
      <c r="C44" s="33" t="s">
        <v>38</v>
      </c>
      <c r="D44" s="33" t="s">
        <v>580</v>
      </c>
      <c r="E44" s="33" t="s">
        <v>550</v>
      </c>
      <c r="F44" s="33" t="s">
        <v>55</v>
      </c>
      <c r="G44" s="38">
        <v>0.40400000000000003</v>
      </c>
    </row>
    <row r="45">
      <c r="A45" s="33" t="s">
        <v>241</v>
      </c>
      <c r="B45" s="33" t="s">
        <v>46</v>
      </c>
      <c r="C45" s="33" t="s">
        <v>30</v>
      </c>
      <c r="D45" s="33" t="s">
        <v>582</v>
      </c>
      <c r="E45" s="33" t="s">
        <v>560</v>
      </c>
      <c r="F45" s="33" t="s">
        <v>27</v>
      </c>
      <c r="G45" s="38">
        <v>0.39400000000000002</v>
      </c>
    </row>
    <row r="46">
      <c r="A46" s="33" t="s">
        <v>483</v>
      </c>
      <c r="B46" s="33" t="s">
        <v>23</v>
      </c>
      <c r="C46" s="33" t="s">
        <v>30</v>
      </c>
      <c r="D46" s="33" t="s">
        <v>582</v>
      </c>
      <c r="E46" s="33" t="s">
        <v>556</v>
      </c>
      <c r="F46" s="33" t="s">
        <v>17</v>
      </c>
      <c r="G46" s="38">
        <v>0.36799999999999999</v>
      </c>
    </row>
    <row r="47">
      <c r="A47" s="33" t="s">
        <v>391</v>
      </c>
      <c r="B47" s="33" t="s">
        <v>46</v>
      </c>
      <c r="C47" s="33" t="s">
        <v>25</v>
      </c>
      <c r="D47" s="33" t="s">
        <v>583</v>
      </c>
      <c r="E47" s="33" t="s">
        <v>554</v>
      </c>
      <c r="F47" s="33" t="s">
        <v>21</v>
      </c>
      <c r="G47" s="38">
        <v>0.35399999999999998</v>
      </c>
    </row>
    <row r="48">
      <c r="A48" s="33" t="s">
        <v>398</v>
      </c>
      <c r="B48" s="33" t="s">
        <v>46</v>
      </c>
      <c r="C48" s="33" t="s">
        <v>15</v>
      </c>
      <c r="D48" s="33" t="s">
        <v>580</v>
      </c>
      <c r="E48" s="33" t="s">
        <v>550</v>
      </c>
      <c r="F48" s="33" t="s">
        <v>21</v>
      </c>
      <c r="G48" s="38">
        <v>0.33900000000000002</v>
      </c>
    </row>
    <row r="49">
      <c r="A49" s="33" t="s">
        <v>333</v>
      </c>
      <c r="B49" s="33" t="s">
        <v>23</v>
      </c>
      <c r="C49" s="33" t="s">
        <v>15</v>
      </c>
      <c r="D49" s="33" t="s">
        <v>584</v>
      </c>
      <c r="E49" s="33" t="s">
        <v>559</v>
      </c>
      <c r="F49" s="33" t="s">
        <v>17</v>
      </c>
      <c r="G49" s="38">
        <v>0.33800000000000002</v>
      </c>
    </row>
    <row r="50">
      <c r="A50" s="33"/>
      <c r="B50" s="33"/>
      <c r="C50" s="33"/>
      <c r="D50" s="33"/>
      <c r="E50" s="33"/>
      <c r="F50" s="33"/>
      <c r="G50" s="33"/>
    </row>
    <row r="51">
      <c r="A51" s="39"/>
      <c r="B51" s="39"/>
      <c r="C51" s="39"/>
      <c r="D51" s="39"/>
      <c r="E51" s="39"/>
    </row>
  </sheetData>
  <mergeCells count="5">
    <mergeCell ref="A2:D2"/>
    <mergeCell ref="F2:H2"/>
    <mergeCell ref="A12:B12"/>
    <mergeCell ref="A23:B23"/>
    <mergeCell ref="A39:E39"/>
  </mergeCells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theme="5" tint="-0.25"/>
  </sheetPr>
  <sheetViews>
    <sheetView workbookViewId="0">
      <selection activeCell="E5" sqref="E5"/>
    </sheetView>
  </sheetViews>
  <sheetFormatPr defaultColWidth="8.90625" defaultRowHeight="14.5"/>
  <cols>
    <col min="1" max="1" width="11.63281"/>
    <col min="2" max="3" width="27.63281"/>
    <col min="4" max="7" width="21.81641"/>
    <col min="8" max="8" width="11.63281"/>
    <col min="9" max="10" width="27.63281"/>
    <col min="11" max="396" width="21.81641"/>
    <col min="397" max="397" width="22.08984"/>
    <col min="398" max="398" width="27"/>
  </cols>
  <sheetData>
    <row r="2">
      <c r="A2" s="35" t="s">
        <v>585</v>
      </c>
    </row>
    <row r="3">
      <c r="A3" t="s">
        <v>1</v>
      </c>
      <c r="B3" t="s">
        <v>577</v>
      </c>
      <c r="E3" s="21" t="s">
        <v>586</v>
      </c>
      <c r="F3" s="21"/>
      <c r="G3" s="21"/>
    </row>
    <row r="4">
      <c r="A4" t="s">
        <v>510</v>
      </c>
      <c r="B4" s="40">
        <v>17.599262914182201</v>
      </c>
      <c r="E4" t="s">
        <v>1</v>
      </c>
      <c r="F4" t="s">
        <v>587</v>
      </c>
      <c r="G4" t="s">
        <v>588</v>
      </c>
    </row>
    <row r="5">
      <c r="A5" t="s">
        <v>46</v>
      </c>
      <c r="B5" s="40">
        <v>17.480513118999902</v>
      </c>
      <c r="E5" t="s">
        <v>23</v>
      </c>
      <c r="F5">
        <v>28201</v>
      </c>
      <c r="G5">
        <v>290063</v>
      </c>
    </row>
    <row r="6">
      <c r="A6" t="s">
        <v>23</v>
      </c>
      <c r="B6" s="40">
        <v>15.5592917988862</v>
      </c>
      <c r="E6" t="s">
        <v>511</v>
      </c>
      <c r="F6">
        <v>29891</v>
      </c>
      <c r="G6">
        <v>320378</v>
      </c>
    </row>
    <row r="7">
      <c r="A7" t="s">
        <v>511</v>
      </c>
      <c r="B7" s="40">
        <v>14.0679983248</v>
      </c>
      <c r="E7" t="s">
        <v>46</v>
      </c>
      <c r="F7">
        <v>34900</v>
      </c>
      <c r="G7">
        <v>338307</v>
      </c>
    </row>
    <row r="8">
      <c r="A8" t="s">
        <v>573</v>
      </c>
      <c r="B8">
        <v>16.076503821978299</v>
      </c>
      <c r="E8" t="s">
        <v>510</v>
      </c>
      <c r="F8">
        <v>25798</v>
      </c>
      <c r="G8">
        <v>256440</v>
      </c>
    </row>
    <row r="9">
      <c r="E9" t="s">
        <v>573</v>
      </c>
      <c r="F9">
        <v>118790</v>
      </c>
      <c r="G9">
        <v>1205188</v>
      </c>
    </row>
    <row r="13">
      <c r="A13" t="s">
        <v>589</v>
      </c>
    </row>
    <row r="14">
      <c r="A14" t="s">
        <v>1</v>
      </c>
      <c r="B14" t="s">
        <v>577</v>
      </c>
      <c r="C14" t="s">
        <v>590</v>
      </c>
    </row>
    <row r="15">
      <c r="A15" t="s">
        <v>23</v>
      </c>
      <c r="B15">
        <v>15.5592917988862</v>
      </c>
      <c r="C15">
        <v>1775883</v>
      </c>
    </row>
    <row r="16">
      <c r="A16" t="s">
        <v>511</v>
      </c>
      <c r="B16">
        <v>14.0679983248</v>
      </c>
      <c r="C16">
        <v>1990523</v>
      </c>
    </row>
    <row r="17">
      <c r="A17" t="s">
        <v>46</v>
      </c>
      <c r="B17">
        <v>17.480513118999902</v>
      </c>
      <c r="C17">
        <v>1874083</v>
      </c>
    </row>
    <row r="18">
      <c r="A18" t="s">
        <v>510</v>
      </c>
      <c r="B18">
        <v>17.599262914182201</v>
      </c>
      <c r="C18">
        <v>1286371</v>
      </c>
    </row>
    <row r="19">
      <c r="A19" t="s">
        <v>573</v>
      </c>
      <c r="B19">
        <v>16.076503821978299</v>
      </c>
      <c r="C19">
        <v>6926860</v>
      </c>
    </row>
  </sheetData>
  <mergeCells count="1">
    <mergeCell ref="E3:G3"/>
  </mergeCells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theme="6" tint="0.4"/>
  </sheetPr>
  <sheetViews>
    <sheetView workbookViewId="0" topLeftCell="A34">
      <selection activeCell="D34" sqref="D34"/>
    </sheetView>
  </sheetViews>
  <sheetFormatPr defaultColWidth="8.90625" defaultRowHeight="14.5"/>
  <cols>
    <col min="1" max="1" width="15.63281" customWidth="1"/>
    <col min="2" max="2" width="21" customWidth="1"/>
    <col min="3" max="3" width="15.45313"/>
    <col min="4" max="15" width="17.45313"/>
    <col min="16" max="16" width="18.81641"/>
    <col min="17" max="17" width="17.17969"/>
    <col min="18" max="18" width="22.63281"/>
  </cols>
  <sheetData>
    <row r="1">
      <c r="E1" s="21" t="s">
        <v>591</v>
      </c>
      <c r="F1" s="21"/>
      <c r="G1" s="21"/>
    </row>
    <row r="2">
      <c r="A2" s="21" t="s">
        <v>592</v>
      </c>
      <c r="B2" s="21"/>
      <c r="E2" t="s">
        <v>547</v>
      </c>
      <c r="F2" t="s">
        <v>572</v>
      </c>
      <c r="G2" t="s">
        <v>593</v>
      </c>
    </row>
    <row r="3">
      <c r="A3" t="s">
        <v>547</v>
      </c>
      <c r="B3" t="s">
        <v>594</v>
      </c>
      <c r="E3" t="s">
        <v>564</v>
      </c>
      <c r="F3">
        <v>1592.72</v>
      </c>
      <c r="G3" s="40">
        <v>13327.799999999999</v>
      </c>
    </row>
    <row r="4">
      <c r="A4" t="s">
        <v>555</v>
      </c>
      <c r="B4" s="21">
        <v>51</v>
      </c>
      <c r="E4" t="s">
        <v>555</v>
      </c>
      <c r="F4" s="40">
        <v>1541.37254901961</v>
      </c>
      <c r="G4" s="40">
        <v>13787.0588235294</v>
      </c>
    </row>
    <row r="5">
      <c r="A5" t="s">
        <v>553</v>
      </c>
      <c r="B5" s="21">
        <v>37</v>
      </c>
      <c r="E5" t="s">
        <v>549</v>
      </c>
      <c r="F5" s="40">
        <v>1463.2941176470599</v>
      </c>
      <c r="G5" s="40">
        <v>13437.1764705882</v>
      </c>
    </row>
    <row r="6">
      <c r="A6" t="s">
        <v>549</v>
      </c>
      <c r="B6" s="21">
        <v>34</v>
      </c>
      <c r="E6" t="s">
        <v>553</v>
      </c>
      <c r="F6" s="40">
        <v>1711.5135135135099</v>
      </c>
      <c r="G6" s="40">
        <v>13986.108108108099</v>
      </c>
    </row>
    <row r="7">
      <c r="A7" t="s">
        <v>557</v>
      </c>
      <c r="B7" s="21">
        <v>29</v>
      </c>
      <c r="E7" t="s">
        <v>562</v>
      </c>
      <c r="F7">
        <v>1674.96</v>
      </c>
      <c r="G7" s="40">
        <v>13057.879999999999</v>
      </c>
    </row>
    <row r="8">
      <c r="A8" t="s">
        <v>558</v>
      </c>
      <c r="B8" s="21">
        <v>28</v>
      </c>
      <c r="E8" t="s">
        <v>557</v>
      </c>
      <c r="F8" s="40">
        <v>1811.3103448275899</v>
      </c>
      <c r="G8" s="40">
        <v>15420.517241379301</v>
      </c>
    </row>
    <row r="9">
      <c r="A9" t="s">
        <v>566</v>
      </c>
      <c r="B9" s="21">
        <v>25</v>
      </c>
      <c r="E9" t="s">
        <v>566</v>
      </c>
      <c r="F9">
        <v>1706.76</v>
      </c>
      <c r="G9" s="40">
        <v>13856.76</v>
      </c>
    </row>
    <row r="10">
      <c r="A10" t="s">
        <v>562</v>
      </c>
      <c r="B10" s="21">
        <v>25</v>
      </c>
      <c r="E10" t="s">
        <v>558</v>
      </c>
      <c r="F10" s="40">
        <v>1680.3571428571399</v>
      </c>
      <c r="G10" s="40">
        <v>13015.3214285714</v>
      </c>
    </row>
    <row r="11">
      <c r="A11" t="s">
        <v>564</v>
      </c>
      <c r="B11" s="21">
        <v>25</v>
      </c>
      <c r="E11" t="s">
        <v>85</v>
      </c>
      <c r="F11" s="40">
        <v>1289.4117647058799</v>
      </c>
      <c r="G11" s="40">
        <v>12777.2352941176</v>
      </c>
    </row>
    <row r="12">
      <c r="A12" t="s">
        <v>85</v>
      </c>
      <c r="B12" s="21">
        <v>17</v>
      </c>
      <c r="E12" t="s">
        <v>35</v>
      </c>
      <c r="F12" s="40">
        <v>1592.9375</v>
      </c>
      <c r="G12" s="40">
        <v>14377.6875</v>
      </c>
    </row>
    <row r="13">
      <c r="A13" t="s">
        <v>35</v>
      </c>
      <c r="B13" s="21">
        <v>16</v>
      </c>
      <c r="E13" t="s">
        <v>551</v>
      </c>
      <c r="F13" s="40">
        <v>1459.3076923076901</v>
      </c>
      <c r="G13" s="40">
        <v>9616.3076923076896</v>
      </c>
    </row>
    <row r="14">
      <c r="A14" t="s">
        <v>551</v>
      </c>
      <c r="B14" s="21">
        <v>13</v>
      </c>
      <c r="E14" t="s">
        <v>573</v>
      </c>
      <c r="F14">
        <v>1606.68333333333</v>
      </c>
      <c r="G14">
        <v>13558.143333333301</v>
      </c>
    </row>
    <row r="15">
      <c r="A15" t="s">
        <v>573</v>
      </c>
      <c r="B15">
        <v>300</v>
      </c>
    </row>
    <row r="22">
      <c r="A22" s="21" t="s">
        <v>595</v>
      </c>
      <c r="B22" s="21"/>
      <c r="C22" s="21"/>
      <c r="D22" s="21"/>
      <c r="E22" s="21"/>
      <c r="F22" s="21"/>
      <c r="G22" s="21"/>
      <c r="H22" s="21"/>
    </row>
    <row r="23">
      <c r="B23" t="s">
        <v>1</v>
      </c>
      <c r="C23" t="s">
        <v>596</v>
      </c>
    </row>
    <row r="24">
      <c r="B24" t="s">
        <v>23</v>
      </c>
      <c r="E24" t="s">
        <v>511</v>
      </c>
      <c r="H24" t="s">
        <v>46</v>
      </c>
      <c r="K24" t="s">
        <v>510</v>
      </c>
      <c r="N24" t="s">
        <v>597</v>
      </c>
      <c r="O24" t="s">
        <v>598</v>
      </c>
      <c r="P24" t="s">
        <v>599</v>
      </c>
    </row>
    <row r="25">
      <c r="A25" t="s">
        <v>546</v>
      </c>
      <c r="B25" t="s">
        <v>570</v>
      </c>
      <c r="C25" t="s">
        <v>571</v>
      </c>
      <c r="D25" t="s">
        <v>569</v>
      </c>
      <c r="E25" t="s">
        <v>570</v>
      </c>
      <c r="F25" t="s">
        <v>571</v>
      </c>
      <c r="G25" t="s">
        <v>569</v>
      </c>
      <c r="H25" t="s">
        <v>570</v>
      </c>
      <c r="I25" t="s">
        <v>571</v>
      </c>
      <c r="J25" t="s">
        <v>569</v>
      </c>
      <c r="K25" t="s">
        <v>570</v>
      </c>
      <c r="L25" t="s">
        <v>571</v>
      </c>
      <c r="M25" t="s">
        <v>569</v>
      </c>
    </row>
    <row r="26">
      <c r="A26" t="s">
        <v>38</v>
      </c>
      <c r="B26">
        <v>16508</v>
      </c>
      <c r="C26">
        <v>278757</v>
      </c>
      <c r="D26">
        <v>13676</v>
      </c>
      <c r="E26">
        <v>18856</v>
      </c>
      <c r="F26">
        <v>246297</v>
      </c>
      <c r="G26">
        <v>12611</v>
      </c>
      <c r="H26">
        <v>21298</v>
      </c>
      <c r="I26">
        <v>394886</v>
      </c>
      <c r="J26">
        <v>14381</v>
      </c>
      <c r="K26">
        <v>24668</v>
      </c>
      <c r="L26">
        <v>279732</v>
      </c>
      <c r="M26">
        <v>13714</v>
      </c>
      <c r="N26">
        <v>81330</v>
      </c>
      <c r="O26">
        <v>1199672</v>
      </c>
      <c r="P26">
        <v>54382</v>
      </c>
    </row>
    <row r="27">
      <c r="A27" t="s">
        <v>15</v>
      </c>
      <c r="B27">
        <v>18753</v>
      </c>
      <c r="C27">
        <v>218031</v>
      </c>
      <c r="D27">
        <v>10389</v>
      </c>
      <c r="E27">
        <v>19905</v>
      </c>
      <c r="F27">
        <v>329722</v>
      </c>
      <c r="G27">
        <v>14305</v>
      </c>
      <c r="H27">
        <v>7832</v>
      </c>
      <c r="I27">
        <v>148676</v>
      </c>
      <c r="J27">
        <v>6092</v>
      </c>
      <c r="K27">
        <v>10604</v>
      </c>
      <c r="L27">
        <v>195079</v>
      </c>
      <c r="M27">
        <v>8277</v>
      </c>
      <c r="N27">
        <v>57094</v>
      </c>
      <c r="O27">
        <v>891508</v>
      </c>
      <c r="P27">
        <v>39063</v>
      </c>
    </row>
    <row r="28">
      <c r="A28" t="s">
        <v>25</v>
      </c>
      <c r="B28">
        <v>14750</v>
      </c>
      <c r="C28">
        <v>206053</v>
      </c>
      <c r="D28">
        <v>9295</v>
      </c>
      <c r="E28">
        <v>17963</v>
      </c>
      <c r="F28">
        <v>279588</v>
      </c>
      <c r="G28">
        <v>11014</v>
      </c>
      <c r="H28">
        <v>15862</v>
      </c>
      <c r="I28">
        <v>249305</v>
      </c>
      <c r="J28">
        <v>9160</v>
      </c>
      <c r="K28">
        <v>14136</v>
      </c>
      <c r="L28">
        <v>187129</v>
      </c>
      <c r="M28">
        <v>8101</v>
      </c>
      <c r="N28">
        <v>62711</v>
      </c>
      <c r="O28">
        <v>922075</v>
      </c>
      <c r="P28">
        <v>37570</v>
      </c>
    </row>
    <row r="29">
      <c r="A29" t="s">
        <v>30</v>
      </c>
      <c r="B29">
        <v>13194</v>
      </c>
      <c r="C29">
        <v>244355</v>
      </c>
      <c r="D29">
        <v>7426</v>
      </c>
      <c r="E29">
        <v>14236</v>
      </c>
      <c r="F29">
        <v>278759</v>
      </c>
      <c r="G29">
        <v>11770</v>
      </c>
      <c r="H29">
        <v>14669</v>
      </c>
      <c r="I29">
        <v>244756</v>
      </c>
      <c r="J29">
        <v>9640</v>
      </c>
      <c r="K29">
        <v>18052</v>
      </c>
      <c r="L29">
        <v>286318</v>
      </c>
      <c r="M29">
        <v>12537</v>
      </c>
      <c r="N29">
        <v>60151</v>
      </c>
      <c r="O29">
        <v>1054188</v>
      </c>
      <c r="P29">
        <v>41373</v>
      </c>
    </row>
    <row r="30">
      <c r="A30" t="s">
        <v>573</v>
      </c>
      <c r="B30">
        <v>63205</v>
      </c>
      <c r="C30">
        <v>947196</v>
      </c>
      <c r="D30">
        <v>40786</v>
      </c>
      <c r="E30">
        <v>70960</v>
      </c>
      <c r="F30">
        <v>1134366</v>
      </c>
      <c r="G30">
        <v>49700</v>
      </c>
      <c r="H30">
        <v>59661</v>
      </c>
      <c r="I30">
        <v>1037623</v>
      </c>
      <c r="J30">
        <v>39273</v>
      </c>
      <c r="K30">
        <v>67460</v>
      </c>
      <c r="L30">
        <v>948258</v>
      </c>
      <c r="M30">
        <v>42629</v>
      </c>
      <c r="N30">
        <v>261286</v>
      </c>
      <c r="O30">
        <v>4067443</v>
      </c>
      <c r="P30">
        <v>172388</v>
      </c>
    </row>
    <row r="33">
      <c r="C33" s="34" t="s">
        <v>600</v>
      </c>
      <c r="D33" s="34"/>
      <c r="E33" s="34"/>
      <c r="F33" s="34"/>
    </row>
    <row r="34" ht="43.5">
      <c r="C34" s="41" t="s">
        <v>601</v>
      </c>
      <c r="D34" s="41" t="s">
        <v>602</v>
      </c>
      <c r="E34" s="41" t="s">
        <v>603</v>
      </c>
      <c r="F34" s="41" t="s">
        <v>604</v>
      </c>
    </row>
    <row r="35" ht="72.5">
      <c r="C35" s="42" t="s">
        <v>605</v>
      </c>
      <c r="D35" s="41" t="s">
        <v>606</v>
      </c>
      <c r="E35" s="42" t="s">
        <v>607</v>
      </c>
      <c r="F35" s="42" t="s">
        <v>608</v>
      </c>
    </row>
    <row r="36" ht="101.5">
      <c r="C36" s="41" t="s">
        <v>609</v>
      </c>
      <c r="D36" s="42" t="s">
        <v>610</v>
      </c>
      <c r="E36" s="41" t="s">
        <v>611</v>
      </c>
      <c r="F36" s="42" t="s">
        <v>612</v>
      </c>
    </row>
  </sheetData>
  <mergeCells count="4">
    <mergeCell ref="E1:G1"/>
    <mergeCell ref="A2:B2"/>
    <mergeCell ref="A22:H22"/>
    <mergeCell ref="C33:F33"/>
  </mergeCells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theme="4" tint="-0.25"/>
  </sheetPr>
  <sheetViews>
    <sheetView workbookViewId="0" topLeftCell="A31">
      <selection activeCell="B19" sqref="B19"/>
    </sheetView>
  </sheetViews>
  <sheetFormatPr defaultColWidth="8.90625" defaultRowHeight="14.5"/>
  <cols>
    <col min="2" max="2" width="28.17969"/>
    <col min="3" max="3" width="29.63281"/>
    <col min="4" max="8" width="21.90625"/>
  </cols>
  <sheetData>
    <row r="1" ht="3" customHeight="1"/>
    <row r="3">
      <c r="C3" s="35" t="s">
        <v>613</v>
      </c>
    </row>
    <row r="4">
      <c r="B4" t="s">
        <v>11</v>
      </c>
      <c r="C4" t="s">
        <v>614</v>
      </c>
      <c r="D4" t="s">
        <v>615</v>
      </c>
      <c r="E4" t="s">
        <v>571</v>
      </c>
      <c r="F4" t="s">
        <v>572</v>
      </c>
      <c r="G4" t="s">
        <v>593</v>
      </c>
      <c r="H4" t="s">
        <v>616</v>
      </c>
    </row>
    <row r="5">
      <c r="B5" t="s">
        <v>21</v>
      </c>
      <c r="C5">
        <v>114854</v>
      </c>
      <c r="D5">
        <v>10331022</v>
      </c>
      <c r="E5">
        <v>957050</v>
      </c>
      <c r="F5">
        <v>1664.5507246376801</v>
      </c>
      <c r="G5">
        <v>13870.2898550725</v>
      </c>
      <c r="H5">
        <v>149724.95652173899</v>
      </c>
    </row>
    <row r="6">
      <c r="B6" t="s">
        <v>17</v>
      </c>
      <c r="C6">
        <v>106775</v>
      </c>
      <c r="D6">
        <v>9407749</v>
      </c>
      <c r="E6">
        <v>888529</v>
      </c>
      <c r="F6">
        <v>1547.46376811594</v>
      </c>
      <c r="G6">
        <v>12877.231884057999</v>
      </c>
      <c r="H6">
        <v>136344.188405797</v>
      </c>
    </row>
    <row r="7">
      <c r="B7" t="s">
        <v>32</v>
      </c>
      <c r="C7">
        <v>96543</v>
      </c>
      <c r="D7">
        <v>8901334</v>
      </c>
      <c r="E7">
        <v>843431</v>
      </c>
      <c r="F7">
        <v>1636.3220338983101</v>
      </c>
      <c r="G7">
        <v>14295.4406779661</v>
      </c>
      <c r="H7">
        <v>150870.06779661</v>
      </c>
    </row>
    <row r="8">
      <c r="B8" t="s">
        <v>55</v>
      </c>
      <c r="C8">
        <v>74667</v>
      </c>
      <c r="D8">
        <v>6698763</v>
      </c>
      <c r="E8">
        <v>585970</v>
      </c>
      <c r="F8">
        <v>1623.19565217391</v>
      </c>
      <c r="G8">
        <v>12738.4782608696</v>
      </c>
      <c r="H8">
        <v>145625.282608696</v>
      </c>
    </row>
    <row r="9">
      <c r="B9" t="s">
        <v>27</v>
      </c>
      <c r="C9">
        <v>89166</v>
      </c>
      <c r="D9">
        <v>9222999</v>
      </c>
      <c r="E9">
        <v>792463</v>
      </c>
      <c r="F9">
        <v>1564.3157894736801</v>
      </c>
      <c r="G9">
        <v>13902.8596491228</v>
      </c>
      <c r="H9">
        <v>161807</v>
      </c>
    </row>
    <row r="10">
      <c r="B10" t="s">
        <v>573</v>
      </c>
      <c r="C10">
        <v>482005</v>
      </c>
      <c r="D10">
        <v>44561867</v>
      </c>
      <c r="E10">
        <v>4067443</v>
      </c>
      <c r="F10">
        <v>1606.68333333333</v>
      </c>
      <c r="G10">
        <v>13558.143333333301</v>
      </c>
      <c r="H10">
        <v>148539.55666666699</v>
      </c>
    </row>
    <row r="17">
      <c r="B17" s="21" t="s">
        <v>617</v>
      </c>
      <c r="C17" s="21"/>
    </row>
    <row r="18">
      <c r="B18" t="s">
        <v>530</v>
      </c>
      <c r="C18" t="s">
        <v>618</v>
      </c>
    </row>
    <row r="19">
      <c r="B19" t="s">
        <v>21</v>
      </c>
      <c r="C19">
        <v>0.46999999999999997</v>
      </c>
    </row>
    <row r="20">
      <c r="B20" t="s">
        <v>17</v>
      </c>
      <c r="C20">
        <v>0.40999999999999998</v>
      </c>
    </row>
    <row r="21">
      <c r="B21" t="s">
        <v>32</v>
      </c>
      <c r="C21">
        <v>0.45000000000000001</v>
      </c>
    </row>
    <row r="22">
      <c r="B22" t="s">
        <v>55</v>
      </c>
      <c r="C22">
        <v>0.38</v>
      </c>
    </row>
    <row r="23">
      <c r="B23" t="s">
        <v>27</v>
      </c>
      <c r="C23">
        <v>0.32000000000000001</v>
      </c>
    </row>
    <row r="24">
      <c r="B24" t="s">
        <v>573</v>
      </c>
      <c r="C24">
        <v>0.40600000000000003</v>
      </c>
    </row>
    <row r="27">
      <c r="B27" s="21" t="s">
        <v>619</v>
      </c>
      <c r="C27" s="21"/>
    </row>
    <row r="28" ht="116">
      <c r="B28" s="43" t="s">
        <v>620</v>
      </c>
      <c r="C28" s="43" t="s">
        <v>621</v>
      </c>
    </row>
    <row r="31" ht="29">
      <c r="B31" s="44" t="s">
        <v>622</v>
      </c>
    </row>
    <row r="32" ht="72.5">
      <c r="B32" s="45" t="s">
        <v>623</v>
      </c>
    </row>
    <row r="33" ht="130.5">
      <c r="B33" s="46" t="s">
        <v>624</v>
      </c>
    </row>
  </sheetData>
  <mergeCells count="2">
    <mergeCell ref="B17:C17"/>
    <mergeCell ref="B27:C27"/>
  </mergeCells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theme="7" tint="0.4"/>
  </sheetPr>
  <sheetViews>
    <sheetView workbookViewId="0" topLeftCell="H1">
      <selection activeCell="L58" sqref="L58"/>
    </sheetView>
  </sheetViews>
  <sheetFormatPr defaultColWidth="8.90625" defaultRowHeight="14.5"/>
  <cols>
    <col min="2" max="2" width="22" customWidth="1"/>
    <col min="3" max="3" width="10.17969" customWidth="1"/>
    <col min="4" max="6" width="10.81641"/>
    <col min="7" max="7" width="11.45313"/>
    <col min="10" max="10" width="22.08984"/>
    <col min="11" max="14" width="10.81641"/>
    <col min="15" max="15" width="11.45313"/>
  </cols>
  <sheetData>
    <row r="1" ht="33" customHeight="1">
      <c r="B1" s="47" t="s">
        <v>625</v>
      </c>
      <c r="C1" s="47"/>
      <c r="D1" s="47"/>
      <c r="E1" s="47"/>
      <c r="F1" s="47"/>
      <c r="G1" s="47"/>
      <c r="I1" s="48" t="s">
        <v>626</v>
      </c>
      <c r="J1" s="48"/>
      <c r="K1" s="48"/>
      <c r="L1" s="48"/>
      <c r="M1" s="48"/>
      <c r="N1" s="48"/>
      <c r="O1" s="48"/>
      <c r="P1" s="48"/>
    </row>
    <row r="2">
      <c r="B2" s="33" t="s">
        <v>588</v>
      </c>
      <c r="C2" s="33" t="s">
        <v>1</v>
      </c>
      <c r="D2" s="33"/>
      <c r="E2" s="33"/>
      <c r="F2" s="33"/>
      <c r="G2" s="33"/>
    </row>
    <row r="3">
      <c r="B3" s="33" t="s">
        <v>504</v>
      </c>
      <c r="C3" s="33" t="s">
        <v>23</v>
      </c>
      <c r="D3" s="33" t="s">
        <v>511</v>
      </c>
      <c r="E3" s="33" t="s">
        <v>46</v>
      </c>
      <c r="F3" s="33" t="s">
        <v>510</v>
      </c>
      <c r="G3" s="33" t="s">
        <v>573</v>
      </c>
    </row>
    <row r="4">
      <c r="B4" s="33" t="s">
        <v>188</v>
      </c>
      <c r="C4" s="34">
        <v>4138</v>
      </c>
      <c r="D4" s="34">
        <v>0</v>
      </c>
      <c r="E4" s="34">
        <v>8693</v>
      </c>
      <c r="F4" s="34">
        <v>18106</v>
      </c>
      <c r="G4" s="34">
        <v>30937</v>
      </c>
    </row>
    <row r="5">
      <c r="B5" s="33" t="s">
        <v>201</v>
      </c>
      <c r="C5" s="34">
        <v>7721</v>
      </c>
      <c r="D5" s="34">
        <v>0</v>
      </c>
      <c r="E5" s="34">
        <v>9203</v>
      </c>
      <c r="F5" s="34">
        <v>8002</v>
      </c>
      <c r="G5" s="34">
        <v>24926</v>
      </c>
    </row>
    <row r="6">
      <c r="B6" s="33" t="s">
        <v>126</v>
      </c>
      <c r="C6" s="34">
        <v>15029</v>
      </c>
      <c r="D6" s="34">
        <v>7097</v>
      </c>
      <c r="E6" s="34">
        <v>6907</v>
      </c>
      <c r="F6" s="34">
        <v>0</v>
      </c>
      <c r="G6" s="34">
        <v>29033</v>
      </c>
    </row>
    <row r="7">
      <c r="B7" s="33" t="s">
        <v>37</v>
      </c>
      <c r="C7" s="34">
        <v>5259</v>
      </c>
      <c r="D7" s="34">
        <v>0</v>
      </c>
      <c r="E7" s="34">
        <v>16885</v>
      </c>
      <c r="F7" s="34">
        <v>9286</v>
      </c>
      <c r="G7" s="34">
        <v>31430</v>
      </c>
    </row>
    <row r="8">
      <c r="B8" s="33" t="s">
        <v>395</v>
      </c>
      <c r="C8" s="34">
        <v>6490</v>
      </c>
      <c r="D8" s="34">
        <v>5917</v>
      </c>
      <c r="E8" s="34">
        <v>9429</v>
      </c>
      <c r="F8" s="34">
        <v>0</v>
      </c>
      <c r="G8" s="34">
        <v>21836</v>
      </c>
    </row>
    <row r="9">
      <c r="B9" s="33" t="s">
        <v>512</v>
      </c>
      <c r="C9" s="34">
        <v>0</v>
      </c>
      <c r="D9" s="34">
        <v>12349</v>
      </c>
      <c r="E9" s="34">
        <v>8045</v>
      </c>
      <c r="F9" s="34">
        <v>0</v>
      </c>
      <c r="G9" s="34">
        <v>20394</v>
      </c>
    </row>
    <row r="10">
      <c r="B10" s="33" t="s">
        <v>266</v>
      </c>
      <c r="C10" s="34">
        <v>5500</v>
      </c>
      <c r="D10" s="34">
        <v>0</v>
      </c>
      <c r="E10" s="34">
        <v>8137</v>
      </c>
      <c r="F10" s="34">
        <v>1963</v>
      </c>
      <c r="G10" s="34">
        <v>15600</v>
      </c>
    </row>
    <row r="11">
      <c r="B11" s="33" t="s">
        <v>513</v>
      </c>
      <c r="C11" s="34">
        <v>0</v>
      </c>
      <c r="D11" s="34">
        <v>17307</v>
      </c>
      <c r="E11" s="34">
        <v>8179</v>
      </c>
      <c r="F11" s="34">
        <v>9734</v>
      </c>
      <c r="G11" s="34">
        <v>35220</v>
      </c>
    </row>
    <row r="12">
      <c r="B12" s="33" t="s">
        <v>221</v>
      </c>
      <c r="C12" s="34">
        <v>0</v>
      </c>
      <c r="D12" s="34">
        <v>8622</v>
      </c>
      <c r="E12" s="34">
        <v>6947</v>
      </c>
      <c r="F12" s="34">
        <v>4036</v>
      </c>
      <c r="G12" s="34">
        <v>19605</v>
      </c>
    </row>
    <row r="13">
      <c r="B13" s="33" t="s">
        <v>437</v>
      </c>
      <c r="C13" s="34">
        <v>3494</v>
      </c>
      <c r="D13" s="34">
        <v>5349</v>
      </c>
      <c r="E13" s="34">
        <v>3719</v>
      </c>
      <c r="F13" s="34">
        <v>2884</v>
      </c>
      <c r="G13" s="34">
        <v>15446</v>
      </c>
    </row>
    <row r="14">
      <c r="B14" s="33" t="s">
        <v>29</v>
      </c>
      <c r="C14" s="34">
        <v>7610</v>
      </c>
      <c r="D14" s="34">
        <v>0</v>
      </c>
      <c r="E14" s="34">
        <v>14333</v>
      </c>
      <c r="F14" s="34">
        <v>7430</v>
      </c>
      <c r="G14" s="34">
        <v>29373</v>
      </c>
    </row>
    <row r="15">
      <c r="B15" s="33" t="s">
        <v>64</v>
      </c>
      <c r="C15" s="34">
        <v>15013</v>
      </c>
      <c r="D15" s="34">
        <v>0</v>
      </c>
      <c r="E15" s="34">
        <v>0</v>
      </c>
      <c r="F15" s="34">
        <v>10587</v>
      </c>
      <c r="G15" s="34">
        <v>25600</v>
      </c>
    </row>
    <row r="16">
      <c r="B16" s="33" t="s">
        <v>59</v>
      </c>
      <c r="C16" s="34">
        <v>9648</v>
      </c>
      <c r="D16" s="34">
        <v>1689</v>
      </c>
      <c r="E16" s="34">
        <v>6175</v>
      </c>
      <c r="F16" s="34">
        <v>6078</v>
      </c>
      <c r="G16" s="34">
        <v>23590</v>
      </c>
    </row>
    <row r="17">
      <c r="B17" s="33" t="s">
        <v>156</v>
      </c>
      <c r="C17" s="34">
        <v>8627</v>
      </c>
      <c r="D17" s="34">
        <v>9591</v>
      </c>
      <c r="E17" s="34">
        <v>7406</v>
      </c>
      <c r="F17" s="34">
        <v>0</v>
      </c>
      <c r="G17" s="34">
        <v>25624</v>
      </c>
    </row>
    <row r="18">
      <c r="B18" s="33" t="s">
        <v>68</v>
      </c>
      <c r="C18" s="34">
        <v>7907</v>
      </c>
      <c r="D18" s="34">
        <v>6671</v>
      </c>
      <c r="E18" s="34">
        <v>0</v>
      </c>
      <c r="F18" s="34">
        <v>12438</v>
      </c>
      <c r="G18" s="34">
        <v>27016</v>
      </c>
    </row>
    <row r="19">
      <c r="B19" s="33" t="s">
        <v>514</v>
      </c>
      <c r="C19" s="34">
        <v>0</v>
      </c>
      <c r="D19" s="34">
        <v>2382</v>
      </c>
      <c r="E19" s="34">
        <v>4292</v>
      </c>
      <c r="F19" s="34">
        <v>10331</v>
      </c>
      <c r="G19" s="34">
        <v>17005</v>
      </c>
    </row>
    <row r="20">
      <c r="B20" s="33" t="s">
        <v>515</v>
      </c>
      <c r="C20" s="34">
        <v>14578</v>
      </c>
      <c r="D20" s="34">
        <v>0</v>
      </c>
      <c r="E20" s="34">
        <v>5517</v>
      </c>
      <c r="F20" s="34">
        <v>0</v>
      </c>
      <c r="G20" s="34">
        <v>20095</v>
      </c>
    </row>
    <row r="21">
      <c r="B21" s="33" t="s">
        <v>516</v>
      </c>
      <c r="C21" s="34">
        <v>10637</v>
      </c>
      <c r="D21" s="34">
        <v>0</v>
      </c>
      <c r="E21" s="34">
        <v>9737</v>
      </c>
      <c r="F21" s="34">
        <v>0</v>
      </c>
      <c r="G21" s="34">
        <v>20374</v>
      </c>
    </row>
    <row r="22">
      <c r="B22" s="33" t="s">
        <v>517</v>
      </c>
      <c r="C22" s="34">
        <v>5481</v>
      </c>
      <c r="D22" s="34">
        <v>2549</v>
      </c>
      <c r="E22" s="34">
        <v>0</v>
      </c>
      <c r="F22" s="34">
        <v>11856</v>
      </c>
      <c r="G22" s="34">
        <v>19886</v>
      </c>
    </row>
    <row r="23">
      <c r="B23" s="33" t="s">
        <v>518</v>
      </c>
      <c r="C23" s="34">
        <v>0</v>
      </c>
      <c r="D23" s="34">
        <v>0</v>
      </c>
      <c r="E23" s="34">
        <v>18028</v>
      </c>
      <c r="F23" s="34">
        <v>7548</v>
      </c>
      <c r="G23" s="34">
        <v>25576</v>
      </c>
    </row>
    <row r="24">
      <c r="B24" s="33" t="s">
        <v>130</v>
      </c>
      <c r="C24" s="34">
        <v>26389</v>
      </c>
      <c r="D24" s="34">
        <v>0</v>
      </c>
      <c r="E24" s="34">
        <v>0</v>
      </c>
      <c r="F24" s="34">
        <v>7793</v>
      </c>
      <c r="G24" s="34">
        <v>34182</v>
      </c>
    </row>
    <row r="25">
      <c r="B25" s="33" t="s">
        <v>161</v>
      </c>
      <c r="C25" s="34">
        <v>0</v>
      </c>
      <c r="D25" s="34">
        <v>16789</v>
      </c>
      <c r="E25" s="34">
        <v>0</v>
      </c>
      <c r="F25" s="34">
        <v>13549</v>
      </c>
      <c r="G25" s="34">
        <v>30338</v>
      </c>
    </row>
    <row r="26">
      <c r="B26" s="33" t="s">
        <v>233</v>
      </c>
      <c r="C26" s="34">
        <v>0</v>
      </c>
      <c r="D26" s="34">
        <v>5268</v>
      </c>
      <c r="E26" s="34">
        <v>10051</v>
      </c>
      <c r="F26" s="34">
        <v>3385</v>
      </c>
      <c r="G26" s="34">
        <v>18704</v>
      </c>
    </row>
    <row r="27">
      <c r="B27" s="33" t="s">
        <v>519</v>
      </c>
      <c r="C27" s="34">
        <v>0</v>
      </c>
      <c r="D27" s="34">
        <v>5592</v>
      </c>
      <c r="E27" s="34">
        <v>10819</v>
      </c>
      <c r="F27" s="34">
        <v>5795</v>
      </c>
      <c r="G27" s="34">
        <v>22206</v>
      </c>
    </row>
    <row r="28">
      <c r="B28" s="33" t="s">
        <v>54</v>
      </c>
      <c r="C28" s="34">
        <v>5798</v>
      </c>
      <c r="D28" s="34">
        <v>10242</v>
      </c>
      <c r="E28" s="34">
        <v>7036</v>
      </c>
      <c r="F28" s="34">
        <v>0</v>
      </c>
      <c r="G28" s="34">
        <v>23076</v>
      </c>
    </row>
    <row r="29">
      <c r="B29" s="33" t="s">
        <v>452</v>
      </c>
      <c r="C29" s="34">
        <v>15788</v>
      </c>
      <c r="D29" s="34">
        <v>9737</v>
      </c>
      <c r="E29" s="34">
        <v>0</v>
      </c>
      <c r="F29" s="34">
        <v>5719</v>
      </c>
      <c r="G29" s="34">
        <v>31244</v>
      </c>
    </row>
    <row r="30">
      <c r="B30" s="33" t="s">
        <v>520</v>
      </c>
      <c r="C30" s="34">
        <v>9987</v>
      </c>
      <c r="D30" s="34">
        <v>5839</v>
      </c>
      <c r="E30" s="34">
        <v>0</v>
      </c>
      <c r="F30" s="34">
        <v>4493</v>
      </c>
      <c r="G30" s="34">
        <v>20319</v>
      </c>
    </row>
    <row r="31">
      <c r="B31" s="33" t="s">
        <v>178</v>
      </c>
      <c r="C31" s="34">
        <v>3672</v>
      </c>
      <c r="D31" s="34">
        <v>1016</v>
      </c>
      <c r="E31" s="34">
        <v>7164</v>
      </c>
      <c r="F31" s="34">
        <v>5200</v>
      </c>
      <c r="G31" s="34">
        <v>17052</v>
      </c>
    </row>
    <row r="32">
      <c r="B32" s="33" t="s">
        <v>89</v>
      </c>
      <c r="C32" s="34">
        <v>5583</v>
      </c>
      <c r="D32" s="34">
        <v>9616</v>
      </c>
      <c r="E32" s="34">
        <v>7272</v>
      </c>
      <c r="F32" s="34">
        <v>0</v>
      </c>
      <c r="G32" s="34">
        <v>22471</v>
      </c>
    </row>
    <row r="33">
      <c r="B33" s="33" t="s">
        <v>14</v>
      </c>
      <c r="C33" s="34">
        <v>4631</v>
      </c>
      <c r="D33" s="34">
        <v>8743</v>
      </c>
      <c r="E33" s="34">
        <v>0</v>
      </c>
      <c r="F33" s="34">
        <v>8177</v>
      </c>
      <c r="G33" s="34">
        <v>21551</v>
      </c>
    </row>
    <row r="34">
      <c r="B34" s="33" t="s">
        <v>521</v>
      </c>
      <c r="C34" s="34">
        <v>4897</v>
      </c>
      <c r="D34" s="34">
        <v>18556</v>
      </c>
      <c r="E34" s="34">
        <v>3279</v>
      </c>
      <c r="F34" s="34">
        <v>0</v>
      </c>
      <c r="G34" s="34">
        <v>26732</v>
      </c>
    </row>
    <row r="35">
      <c r="B35" s="33" t="s">
        <v>99</v>
      </c>
      <c r="C35" s="34">
        <v>0</v>
      </c>
      <c r="D35" s="34">
        <v>9980</v>
      </c>
      <c r="E35" s="34">
        <v>10226</v>
      </c>
      <c r="F35" s="34">
        <v>9906</v>
      </c>
      <c r="G35" s="34">
        <v>30112</v>
      </c>
    </row>
    <row r="36">
      <c r="B36" s="33" t="s">
        <v>522</v>
      </c>
      <c r="C36" s="34">
        <v>3247</v>
      </c>
      <c r="D36" s="34">
        <v>7869</v>
      </c>
      <c r="E36" s="34">
        <v>8088</v>
      </c>
      <c r="F36" s="34">
        <v>1078</v>
      </c>
      <c r="G36" s="34">
        <v>20282</v>
      </c>
      <c r="L36" s="43"/>
      <c r="M36" s="43"/>
      <c r="N36" s="43"/>
    </row>
    <row r="37">
      <c r="B37" s="33" t="s">
        <v>523</v>
      </c>
      <c r="C37" s="34">
        <v>0</v>
      </c>
      <c r="D37" s="34">
        <v>0</v>
      </c>
      <c r="E37" s="34">
        <v>22105</v>
      </c>
      <c r="F37" s="34">
        <v>8340</v>
      </c>
      <c r="G37" s="34">
        <v>30445</v>
      </c>
      <c r="L37" s="43"/>
      <c r="M37" s="43"/>
      <c r="N37" s="43"/>
    </row>
    <row r="38">
      <c r="B38" s="33" t="s">
        <v>181</v>
      </c>
      <c r="C38" s="34">
        <v>4271</v>
      </c>
      <c r="D38" s="34">
        <v>8083</v>
      </c>
      <c r="E38" s="34">
        <v>13170</v>
      </c>
      <c r="F38" s="34">
        <v>0</v>
      </c>
      <c r="G38" s="34">
        <v>25524</v>
      </c>
      <c r="L38" s="43"/>
      <c r="M38" s="43"/>
      <c r="N38" s="43"/>
    </row>
    <row r="39">
      <c r="B39" s="33" t="s">
        <v>524</v>
      </c>
      <c r="C39" s="34">
        <v>0</v>
      </c>
      <c r="D39" s="34">
        <v>0</v>
      </c>
      <c r="E39" s="34">
        <v>17438</v>
      </c>
      <c r="F39" s="34">
        <v>14055</v>
      </c>
      <c r="G39" s="34">
        <v>31493</v>
      </c>
    </row>
    <row r="40">
      <c r="B40" s="33" t="s">
        <v>439</v>
      </c>
      <c r="C40" s="34">
        <v>0</v>
      </c>
      <c r="D40" s="34">
        <v>13799</v>
      </c>
      <c r="E40" s="34">
        <v>1147</v>
      </c>
      <c r="F40" s="34">
        <v>0</v>
      </c>
      <c r="G40" s="34">
        <v>14946</v>
      </c>
    </row>
    <row r="41">
      <c r="B41" s="33" t="s">
        <v>101</v>
      </c>
      <c r="C41" s="34">
        <v>12840</v>
      </c>
      <c r="D41" s="34">
        <v>5531</v>
      </c>
      <c r="E41" s="34">
        <v>1365</v>
      </c>
      <c r="F41" s="34">
        <v>0</v>
      </c>
      <c r="G41" s="34">
        <v>19736</v>
      </c>
    </row>
    <row r="42">
      <c r="B42" s="33" t="s">
        <v>114</v>
      </c>
      <c r="C42" s="34">
        <v>16193</v>
      </c>
      <c r="D42" s="34">
        <v>0</v>
      </c>
      <c r="E42" s="34">
        <v>0</v>
      </c>
      <c r="F42" s="34">
        <v>17457</v>
      </c>
      <c r="G42" s="34">
        <v>33650</v>
      </c>
    </row>
    <row r="43">
      <c r="B43" s="33" t="s">
        <v>158</v>
      </c>
      <c r="C43" s="34">
        <v>0</v>
      </c>
      <c r="D43" s="34">
        <v>8504</v>
      </c>
      <c r="E43" s="34">
        <v>7085</v>
      </c>
      <c r="F43" s="34">
        <v>7511</v>
      </c>
      <c r="G43" s="34">
        <v>23100</v>
      </c>
    </row>
    <row r="44">
      <c r="B44" s="33" t="s">
        <v>525</v>
      </c>
      <c r="C44" s="34">
        <v>3376</v>
      </c>
      <c r="D44" s="34">
        <v>2827</v>
      </c>
      <c r="E44" s="34">
        <v>9551</v>
      </c>
      <c r="F44" s="34">
        <v>4009</v>
      </c>
      <c r="G44" s="34">
        <v>19763</v>
      </c>
    </row>
    <row r="45">
      <c r="B45" s="33" t="s">
        <v>526</v>
      </c>
      <c r="C45" s="34">
        <v>9569</v>
      </c>
      <c r="D45" s="34">
        <v>21174</v>
      </c>
      <c r="E45" s="34">
        <v>0</v>
      </c>
      <c r="F45" s="34">
        <v>0</v>
      </c>
      <c r="G45" s="34">
        <v>30743</v>
      </c>
    </row>
    <row r="46">
      <c r="B46" s="33" t="s">
        <v>340</v>
      </c>
      <c r="C46" s="34">
        <v>0</v>
      </c>
      <c r="D46" s="34">
        <v>22600</v>
      </c>
      <c r="E46" s="34">
        <v>0</v>
      </c>
      <c r="F46" s="34">
        <v>4747</v>
      </c>
      <c r="G46" s="34">
        <v>27347</v>
      </c>
    </row>
    <row r="47">
      <c r="B47" s="33" t="s">
        <v>527</v>
      </c>
      <c r="C47" s="34">
        <v>6607</v>
      </c>
      <c r="D47" s="34">
        <v>1780</v>
      </c>
      <c r="E47" s="34">
        <v>6978</v>
      </c>
      <c r="F47" s="34">
        <v>1769</v>
      </c>
      <c r="G47" s="34">
        <v>17134</v>
      </c>
    </row>
    <row r="48">
      <c r="B48" s="33" t="s">
        <v>355</v>
      </c>
      <c r="C48" s="34">
        <v>1521</v>
      </c>
      <c r="D48" s="34">
        <v>4983</v>
      </c>
      <c r="E48" s="34">
        <v>9714</v>
      </c>
      <c r="F48" s="34">
        <v>7303</v>
      </c>
      <c r="G48" s="34">
        <v>23521</v>
      </c>
    </row>
    <row r="49">
      <c r="B49" s="33" t="s">
        <v>528</v>
      </c>
      <c r="C49" s="34">
        <v>0</v>
      </c>
      <c r="D49" s="34">
        <v>27882</v>
      </c>
      <c r="E49" s="34">
        <v>0</v>
      </c>
      <c r="F49" s="34">
        <v>0</v>
      </c>
      <c r="G49" s="34">
        <v>27882</v>
      </c>
    </row>
    <row r="50">
      <c r="B50" s="33" t="s">
        <v>529</v>
      </c>
      <c r="C50" s="34">
        <v>16669</v>
      </c>
      <c r="D50" s="34">
        <v>0</v>
      </c>
      <c r="E50" s="34">
        <v>8128</v>
      </c>
      <c r="F50" s="34">
        <v>0</v>
      </c>
      <c r="G50" s="34">
        <v>24797</v>
      </c>
    </row>
    <row r="51">
      <c r="B51" s="33" t="s">
        <v>313</v>
      </c>
      <c r="C51" s="34">
        <v>0</v>
      </c>
      <c r="D51" s="34">
        <v>1685</v>
      </c>
      <c r="E51" s="34">
        <v>17532</v>
      </c>
      <c r="F51" s="34">
        <v>0</v>
      </c>
      <c r="G51" s="34">
        <v>19217</v>
      </c>
    </row>
    <row r="52">
      <c r="B52" s="33" t="s">
        <v>61</v>
      </c>
      <c r="C52" s="34">
        <v>8697</v>
      </c>
      <c r="D52" s="34">
        <v>3294</v>
      </c>
      <c r="E52" s="34">
        <v>0</v>
      </c>
      <c r="F52" s="34">
        <v>5875</v>
      </c>
      <c r="G52" s="34">
        <v>17866</v>
      </c>
    </row>
    <row r="53">
      <c r="B53" s="33" t="s">
        <v>24</v>
      </c>
      <c r="C53" s="34">
        <v>3196</v>
      </c>
      <c r="D53" s="34">
        <v>9466</v>
      </c>
      <c r="E53" s="34">
        <v>8527</v>
      </c>
      <c r="F53" s="34">
        <v>0</v>
      </c>
      <c r="G53" s="34">
        <v>21189</v>
      </c>
    </row>
    <row r="54">
      <c r="B54" s="33" t="s">
        <v>573</v>
      </c>
      <c r="C54" s="34">
        <v>290063</v>
      </c>
      <c r="D54" s="34">
        <v>320378</v>
      </c>
      <c r="E54" s="34">
        <v>338307</v>
      </c>
      <c r="F54" s="34">
        <v>256440</v>
      </c>
      <c r="G54" s="34">
        <v>1205188</v>
      </c>
    </row>
    <row r="55">
      <c r="J55" t="s">
        <v>588</v>
      </c>
      <c r="K55" t="s">
        <v>1</v>
      </c>
    </row>
    <row r="56">
      <c r="J56" t="s">
        <v>504</v>
      </c>
      <c r="K56" t="s">
        <v>23</v>
      </c>
      <c r="L56" t="s">
        <v>511</v>
      </c>
      <c r="M56" t="s">
        <v>46</v>
      </c>
      <c r="N56" t="s">
        <v>510</v>
      </c>
      <c r="O56" t="s">
        <v>573</v>
      </c>
    </row>
    <row r="57">
      <c r="J57" t="s">
        <v>188</v>
      </c>
      <c r="K57">
        <v>4138</v>
      </c>
      <c r="L57">
        <v>0</v>
      </c>
      <c r="M57">
        <v>8693</v>
      </c>
      <c r="N57">
        <v>18106</v>
      </c>
      <c r="O57">
        <v>30937</v>
      </c>
    </row>
    <row r="58">
      <c r="J58" t="s">
        <v>201</v>
      </c>
      <c r="K58">
        <v>7721</v>
      </c>
      <c r="L58">
        <v>0</v>
      </c>
      <c r="M58">
        <v>9203</v>
      </c>
      <c r="N58">
        <v>8002</v>
      </c>
      <c r="O58">
        <v>24926</v>
      </c>
    </row>
    <row r="59">
      <c r="J59" t="s">
        <v>126</v>
      </c>
      <c r="K59">
        <v>15029</v>
      </c>
      <c r="L59">
        <v>7097</v>
      </c>
      <c r="M59">
        <v>6907</v>
      </c>
      <c r="N59">
        <v>0</v>
      </c>
      <c r="O59">
        <v>29033</v>
      </c>
    </row>
    <row r="60">
      <c r="J60" t="s">
        <v>37</v>
      </c>
      <c r="K60">
        <v>5259</v>
      </c>
      <c r="L60">
        <v>0</v>
      </c>
      <c r="M60">
        <v>16885</v>
      </c>
      <c r="N60">
        <v>9286</v>
      </c>
      <c r="O60">
        <v>31430</v>
      </c>
    </row>
    <row r="61">
      <c r="J61" t="s">
        <v>395</v>
      </c>
      <c r="K61">
        <v>6490</v>
      </c>
      <c r="L61">
        <v>5917</v>
      </c>
      <c r="M61">
        <v>9429</v>
      </c>
      <c r="N61">
        <v>0</v>
      </c>
      <c r="O61">
        <v>21836</v>
      </c>
    </row>
    <row r="62">
      <c r="J62" t="s">
        <v>512</v>
      </c>
      <c r="K62">
        <v>0</v>
      </c>
      <c r="L62">
        <v>12349</v>
      </c>
      <c r="M62">
        <v>8045</v>
      </c>
      <c r="N62">
        <v>0</v>
      </c>
      <c r="O62">
        <v>20394</v>
      </c>
    </row>
    <row r="63">
      <c r="J63" t="s">
        <v>266</v>
      </c>
      <c r="K63">
        <v>5500</v>
      </c>
      <c r="L63">
        <v>0</v>
      </c>
      <c r="M63">
        <v>8137</v>
      </c>
      <c r="N63">
        <v>1963</v>
      </c>
      <c r="O63">
        <v>15600</v>
      </c>
    </row>
    <row r="64">
      <c r="J64" t="s">
        <v>513</v>
      </c>
      <c r="K64">
        <v>0</v>
      </c>
      <c r="L64">
        <v>17307</v>
      </c>
      <c r="M64">
        <v>8179</v>
      </c>
      <c r="N64">
        <v>9734</v>
      </c>
      <c r="O64">
        <v>35220</v>
      </c>
    </row>
    <row r="65">
      <c r="J65" t="s">
        <v>221</v>
      </c>
      <c r="K65">
        <v>0</v>
      </c>
      <c r="L65">
        <v>8622</v>
      </c>
      <c r="M65">
        <v>6947</v>
      </c>
      <c r="N65">
        <v>4036</v>
      </c>
      <c r="O65">
        <v>19605</v>
      </c>
    </row>
    <row r="66">
      <c r="J66" t="s">
        <v>437</v>
      </c>
      <c r="K66">
        <v>3494</v>
      </c>
      <c r="L66">
        <v>5349</v>
      </c>
      <c r="M66">
        <v>3719</v>
      </c>
      <c r="N66">
        <v>2884</v>
      </c>
      <c r="O66">
        <v>15446</v>
      </c>
    </row>
    <row r="67">
      <c r="J67" t="s">
        <v>29</v>
      </c>
      <c r="K67">
        <v>7610</v>
      </c>
      <c r="L67">
        <v>0</v>
      </c>
      <c r="M67">
        <v>14333</v>
      </c>
      <c r="N67">
        <v>7430</v>
      </c>
      <c r="O67">
        <v>29373</v>
      </c>
    </row>
    <row r="68">
      <c r="J68" t="s">
        <v>64</v>
      </c>
      <c r="K68">
        <v>15013</v>
      </c>
      <c r="L68">
        <v>0</v>
      </c>
      <c r="M68">
        <v>0</v>
      </c>
      <c r="N68">
        <v>10587</v>
      </c>
      <c r="O68">
        <v>25600</v>
      </c>
    </row>
    <row r="69">
      <c r="J69" t="s">
        <v>59</v>
      </c>
      <c r="K69">
        <v>9648</v>
      </c>
      <c r="L69">
        <v>1689</v>
      </c>
      <c r="M69">
        <v>6175</v>
      </c>
      <c r="N69">
        <v>6078</v>
      </c>
      <c r="O69">
        <v>23590</v>
      </c>
    </row>
    <row r="70">
      <c r="J70" t="s">
        <v>156</v>
      </c>
      <c r="K70">
        <v>8627</v>
      </c>
      <c r="L70">
        <v>9591</v>
      </c>
      <c r="M70">
        <v>7406</v>
      </c>
      <c r="N70">
        <v>0</v>
      </c>
      <c r="O70">
        <v>25624</v>
      </c>
    </row>
    <row r="71">
      <c r="J71" t="s">
        <v>68</v>
      </c>
      <c r="K71">
        <v>7907</v>
      </c>
      <c r="L71">
        <v>6671</v>
      </c>
      <c r="M71">
        <v>0</v>
      </c>
      <c r="N71">
        <v>12438</v>
      </c>
      <c r="O71">
        <v>27016</v>
      </c>
    </row>
    <row r="72">
      <c r="J72" t="s">
        <v>514</v>
      </c>
      <c r="K72">
        <v>0</v>
      </c>
      <c r="L72">
        <v>2382</v>
      </c>
      <c r="M72">
        <v>4292</v>
      </c>
      <c r="N72">
        <v>10331</v>
      </c>
      <c r="O72">
        <v>17005</v>
      </c>
    </row>
    <row r="73">
      <c r="J73" t="s">
        <v>515</v>
      </c>
      <c r="K73">
        <v>14578</v>
      </c>
      <c r="L73">
        <v>0</v>
      </c>
      <c r="M73">
        <v>5517</v>
      </c>
      <c r="N73">
        <v>0</v>
      </c>
      <c r="O73">
        <v>20095</v>
      </c>
    </row>
    <row r="74">
      <c r="J74" t="s">
        <v>516</v>
      </c>
      <c r="K74">
        <v>10637</v>
      </c>
      <c r="L74">
        <v>0</v>
      </c>
      <c r="M74">
        <v>9737</v>
      </c>
      <c r="N74">
        <v>0</v>
      </c>
      <c r="O74">
        <v>20374</v>
      </c>
    </row>
    <row r="75">
      <c r="J75" t="s">
        <v>517</v>
      </c>
      <c r="K75">
        <v>5481</v>
      </c>
      <c r="L75">
        <v>2549</v>
      </c>
      <c r="M75">
        <v>0</v>
      </c>
      <c r="N75">
        <v>11856</v>
      </c>
      <c r="O75">
        <v>19886</v>
      </c>
    </row>
    <row r="76">
      <c r="J76" t="s">
        <v>518</v>
      </c>
      <c r="K76">
        <v>0</v>
      </c>
      <c r="L76">
        <v>0</v>
      </c>
      <c r="M76">
        <v>18028</v>
      </c>
      <c r="N76">
        <v>7548</v>
      </c>
      <c r="O76">
        <v>25576</v>
      </c>
    </row>
    <row r="77">
      <c r="J77" t="s">
        <v>130</v>
      </c>
      <c r="K77">
        <v>26389</v>
      </c>
      <c r="L77">
        <v>0</v>
      </c>
      <c r="M77">
        <v>0</v>
      </c>
      <c r="N77">
        <v>7793</v>
      </c>
      <c r="O77">
        <v>34182</v>
      </c>
    </row>
    <row r="78">
      <c r="J78" t="s">
        <v>161</v>
      </c>
      <c r="K78">
        <v>0</v>
      </c>
      <c r="L78">
        <v>16789</v>
      </c>
      <c r="M78">
        <v>0</v>
      </c>
      <c r="N78">
        <v>13549</v>
      </c>
      <c r="O78">
        <v>30338</v>
      </c>
    </row>
    <row r="79">
      <c r="J79" t="s">
        <v>233</v>
      </c>
      <c r="K79">
        <v>0</v>
      </c>
      <c r="L79">
        <v>5268</v>
      </c>
      <c r="M79">
        <v>10051</v>
      </c>
      <c r="N79">
        <v>3385</v>
      </c>
      <c r="O79">
        <v>18704</v>
      </c>
    </row>
    <row r="80">
      <c r="J80" t="s">
        <v>519</v>
      </c>
      <c r="K80">
        <v>0</v>
      </c>
      <c r="L80">
        <v>5592</v>
      </c>
      <c r="M80">
        <v>10819</v>
      </c>
      <c r="N80">
        <v>5795</v>
      </c>
      <c r="O80">
        <v>22206</v>
      </c>
    </row>
    <row r="81">
      <c r="J81" t="s">
        <v>54</v>
      </c>
      <c r="K81">
        <v>5798</v>
      </c>
      <c r="L81">
        <v>10242</v>
      </c>
      <c r="M81">
        <v>7036</v>
      </c>
      <c r="N81">
        <v>0</v>
      </c>
      <c r="O81">
        <v>23076</v>
      </c>
    </row>
    <row r="82">
      <c r="J82" t="s">
        <v>452</v>
      </c>
      <c r="K82">
        <v>15788</v>
      </c>
      <c r="L82">
        <v>9737</v>
      </c>
      <c r="M82">
        <v>0</v>
      </c>
      <c r="N82">
        <v>5719</v>
      </c>
      <c r="O82">
        <v>31244</v>
      </c>
    </row>
    <row r="83">
      <c r="J83" t="s">
        <v>520</v>
      </c>
      <c r="K83">
        <v>9987</v>
      </c>
      <c r="L83">
        <v>5839</v>
      </c>
      <c r="M83">
        <v>0</v>
      </c>
      <c r="N83">
        <v>4493</v>
      </c>
      <c r="O83">
        <v>20319</v>
      </c>
    </row>
    <row r="84">
      <c r="J84" t="s">
        <v>178</v>
      </c>
      <c r="K84">
        <v>3672</v>
      </c>
      <c r="L84">
        <v>1016</v>
      </c>
      <c r="M84">
        <v>7164</v>
      </c>
      <c r="N84">
        <v>5200</v>
      </c>
      <c r="O84">
        <v>17052</v>
      </c>
    </row>
    <row r="85">
      <c r="J85" t="s">
        <v>89</v>
      </c>
      <c r="K85">
        <v>5583</v>
      </c>
      <c r="L85">
        <v>9616</v>
      </c>
      <c r="M85">
        <v>7272</v>
      </c>
      <c r="N85">
        <v>0</v>
      </c>
      <c r="O85">
        <v>22471</v>
      </c>
    </row>
    <row r="86">
      <c r="J86" t="s">
        <v>14</v>
      </c>
      <c r="K86">
        <v>4631</v>
      </c>
      <c r="L86">
        <v>8743</v>
      </c>
      <c r="M86">
        <v>0</v>
      </c>
      <c r="N86">
        <v>8177</v>
      </c>
      <c r="O86">
        <v>21551</v>
      </c>
    </row>
    <row r="87">
      <c r="J87" t="s">
        <v>521</v>
      </c>
      <c r="K87">
        <v>4897</v>
      </c>
      <c r="L87">
        <v>18556</v>
      </c>
      <c r="M87">
        <v>3279</v>
      </c>
      <c r="N87">
        <v>0</v>
      </c>
      <c r="O87">
        <v>26732</v>
      </c>
    </row>
    <row r="88">
      <c r="J88" t="s">
        <v>99</v>
      </c>
      <c r="K88">
        <v>0</v>
      </c>
      <c r="L88">
        <v>9980</v>
      </c>
      <c r="M88">
        <v>10226</v>
      </c>
      <c r="N88">
        <v>9906</v>
      </c>
      <c r="O88">
        <v>30112</v>
      </c>
    </row>
    <row r="89">
      <c r="J89" t="s">
        <v>522</v>
      </c>
      <c r="K89">
        <v>3247</v>
      </c>
      <c r="L89">
        <v>7869</v>
      </c>
      <c r="M89">
        <v>8088</v>
      </c>
      <c r="N89">
        <v>1078</v>
      </c>
      <c r="O89">
        <v>20282</v>
      </c>
    </row>
    <row r="90">
      <c r="J90" t="s">
        <v>523</v>
      </c>
      <c r="K90">
        <v>0</v>
      </c>
      <c r="L90">
        <v>0</v>
      </c>
      <c r="M90">
        <v>22105</v>
      </c>
      <c r="N90">
        <v>8340</v>
      </c>
      <c r="O90">
        <v>30445</v>
      </c>
    </row>
    <row r="91">
      <c r="J91" t="s">
        <v>181</v>
      </c>
      <c r="K91">
        <v>4271</v>
      </c>
      <c r="L91">
        <v>8083</v>
      </c>
      <c r="M91">
        <v>13170</v>
      </c>
      <c r="N91">
        <v>0</v>
      </c>
      <c r="O91">
        <v>25524</v>
      </c>
    </row>
    <row r="92">
      <c r="J92" t="s">
        <v>524</v>
      </c>
      <c r="K92">
        <v>0</v>
      </c>
      <c r="L92">
        <v>0</v>
      </c>
      <c r="M92">
        <v>17438</v>
      </c>
      <c r="N92">
        <v>14055</v>
      </c>
      <c r="O92">
        <v>31493</v>
      </c>
    </row>
    <row r="93">
      <c r="J93" t="s">
        <v>439</v>
      </c>
      <c r="K93">
        <v>0</v>
      </c>
      <c r="L93">
        <v>13799</v>
      </c>
      <c r="M93">
        <v>1147</v>
      </c>
      <c r="N93">
        <v>0</v>
      </c>
      <c r="O93">
        <v>14946</v>
      </c>
    </row>
    <row r="94">
      <c r="J94" t="s">
        <v>101</v>
      </c>
      <c r="K94">
        <v>12840</v>
      </c>
      <c r="L94">
        <v>5531</v>
      </c>
      <c r="M94">
        <v>1365</v>
      </c>
      <c r="N94">
        <v>0</v>
      </c>
      <c r="O94">
        <v>19736</v>
      </c>
    </row>
    <row r="95">
      <c r="J95" t="s">
        <v>114</v>
      </c>
      <c r="K95">
        <v>16193</v>
      </c>
      <c r="L95">
        <v>0</v>
      </c>
      <c r="M95">
        <v>0</v>
      </c>
      <c r="N95">
        <v>17457</v>
      </c>
      <c r="O95">
        <v>33650</v>
      </c>
    </row>
    <row r="96">
      <c r="J96" t="s">
        <v>158</v>
      </c>
      <c r="K96">
        <v>0</v>
      </c>
      <c r="L96">
        <v>8504</v>
      </c>
      <c r="M96">
        <v>7085</v>
      </c>
      <c r="N96">
        <v>7511</v>
      </c>
      <c r="O96">
        <v>23100</v>
      </c>
    </row>
    <row r="97">
      <c r="J97" t="s">
        <v>525</v>
      </c>
      <c r="K97">
        <v>3376</v>
      </c>
      <c r="L97">
        <v>2827</v>
      </c>
      <c r="M97">
        <v>9551</v>
      </c>
      <c r="N97">
        <v>4009</v>
      </c>
      <c r="O97">
        <v>19763</v>
      </c>
    </row>
    <row r="98">
      <c r="J98" t="s">
        <v>526</v>
      </c>
      <c r="K98">
        <v>9569</v>
      </c>
      <c r="L98">
        <v>21174</v>
      </c>
      <c r="M98">
        <v>0</v>
      </c>
      <c r="N98">
        <v>0</v>
      </c>
      <c r="O98">
        <v>30743</v>
      </c>
    </row>
    <row r="99">
      <c r="J99" t="s">
        <v>340</v>
      </c>
      <c r="K99">
        <v>0</v>
      </c>
      <c r="L99">
        <v>22600</v>
      </c>
      <c r="M99">
        <v>0</v>
      </c>
      <c r="N99">
        <v>4747</v>
      </c>
      <c r="O99">
        <v>27347</v>
      </c>
    </row>
    <row r="100">
      <c r="J100" t="s">
        <v>527</v>
      </c>
      <c r="K100">
        <v>6607</v>
      </c>
      <c r="L100">
        <v>1780</v>
      </c>
      <c r="M100">
        <v>6978</v>
      </c>
      <c r="N100">
        <v>1769</v>
      </c>
      <c r="O100">
        <v>17134</v>
      </c>
    </row>
    <row r="101">
      <c r="J101" t="s">
        <v>355</v>
      </c>
      <c r="K101">
        <v>1521</v>
      </c>
      <c r="L101">
        <v>4983</v>
      </c>
      <c r="M101">
        <v>9714</v>
      </c>
      <c r="N101">
        <v>7303</v>
      </c>
      <c r="O101">
        <v>23521</v>
      </c>
    </row>
    <row r="102">
      <c r="J102" t="s">
        <v>528</v>
      </c>
      <c r="K102">
        <v>0</v>
      </c>
      <c r="L102">
        <v>27882</v>
      </c>
      <c r="M102">
        <v>0</v>
      </c>
      <c r="N102">
        <v>0</v>
      </c>
      <c r="O102">
        <v>27882</v>
      </c>
    </row>
    <row r="103">
      <c r="J103" t="s">
        <v>529</v>
      </c>
      <c r="K103">
        <v>16669</v>
      </c>
      <c r="L103">
        <v>0</v>
      </c>
      <c r="M103">
        <v>8128</v>
      </c>
      <c r="N103">
        <v>0</v>
      </c>
      <c r="O103">
        <v>24797</v>
      </c>
    </row>
    <row r="104">
      <c r="J104" t="s">
        <v>313</v>
      </c>
      <c r="K104">
        <v>0</v>
      </c>
      <c r="L104">
        <v>1685</v>
      </c>
      <c r="M104">
        <v>17532</v>
      </c>
      <c r="N104">
        <v>0</v>
      </c>
      <c r="O104">
        <v>19217</v>
      </c>
    </row>
    <row r="105">
      <c r="J105" t="s">
        <v>61</v>
      </c>
      <c r="K105">
        <v>8697</v>
      </c>
      <c r="L105">
        <v>3294</v>
      </c>
      <c r="M105">
        <v>0</v>
      </c>
      <c r="N105">
        <v>5875</v>
      </c>
      <c r="O105">
        <v>17866</v>
      </c>
    </row>
    <row r="106">
      <c r="J106" t="s">
        <v>24</v>
      </c>
      <c r="K106">
        <v>3196</v>
      </c>
      <c r="L106">
        <v>9466</v>
      </c>
      <c r="M106">
        <v>8527</v>
      </c>
      <c r="N106">
        <v>0</v>
      </c>
      <c r="O106">
        <v>21189</v>
      </c>
    </row>
    <row r="107">
      <c r="J107" t="s">
        <v>573</v>
      </c>
      <c r="K107">
        <v>290063</v>
      </c>
      <c r="L107">
        <v>320378</v>
      </c>
      <c r="M107">
        <v>338307</v>
      </c>
      <c r="N107">
        <v>256440</v>
      </c>
      <c r="O107">
        <v>1205188</v>
      </c>
    </row>
  </sheetData>
  <mergeCells count="2">
    <mergeCell ref="B1:G1"/>
    <mergeCell ref="I1:P1"/>
  </mergeCells>
  <pageMargins left="0.75" right="0.75" top="1" bottom="1" header="0.5" footer="0.5"/>
  <drawing r:id="rId3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5" sqref="K15"/>
    </sheetView>
  </sheetViews>
  <sheetFormatPr defaultRowHeight="14.5"/>
  <sheetData>
    <row r="3">
      <c r="B3" s="49"/>
      <c r="C3" s="49"/>
      <c r="D3" s="49"/>
      <c r="E3" s="49"/>
      <c r="F3" s="49"/>
      <c r="G3" s="49"/>
      <c r="H3" s="49"/>
      <c r="I3" s="49"/>
      <c r="J3" s="49"/>
    </row>
    <row r="4">
      <c r="B4" s="49"/>
      <c r="C4" s="49"/>
      <c r="D4" s="49"/>
      <c r="E4" s="49"/>
      <c r="F4" s="49"/>
      <c r="G4" s="49"/>
      <c r="H4" s="49"/>
      <c r="I4" s="49"/>
      <c r="J4" s="49"/>
    </row>
    <row r="8">
      <c r="D8" s="50" t="s">
        <v>627</v>
      </c>
      <c r="E8" s="50"/>
      <c r="F8" s="50"/>
      <c r="G8" s="50"/>
      <c r="H8" s="50"/>
      <c r="I8" s="50"/>
      <c r="J8" s="50"/>
      <c r="K8" s="50"/>
      <c r="L8" s="50"/>
    </row>
    <row r="11">
      <c r="D11" s="50" t="s">
        <v>627</v>
      </c>
      <c r="E11" s="50"/>
      <c r="F11" s="50"/>
      <c r="G11" s="50"/>
      <c r="H11" s="50"/>
      <c r="I11" s="50"/>
      <c r="J11" s="50"/>
      <c r="K11" s="50"/>
      <c r="L11" s="50"/>
    </row>
  </sheetData>
  <mergeCells count="3">
    <mergeCell ref="B3:J4"/>
    <mergeCell ref="D8:L8"/>
    <mergeCell ref="D11:L11"/>
  </mergeCells>
</worksheet>
</file>

<file path=docProps/app.xml><?xml version="1.0" encoding="utf-8"?>
<Properties xmlns="http://schemas.openxmlformats.org/officeDocument/2006/extended-properties">
  <Application>DevExpress Office File API/22.1.4.0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DESKTOP-1ULGF16\Administrator</cp:lastModifiedBy>
  <dcterms:created xsi:type="dcterms:W3CDTF">2026-04-25T12:07:00Z</dcterms:created>
  <dcterms:modified xsi:type="dcterms:W3CDTF">2026-05-17T08:45:45Z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D814471FC49C4A32A485D5E33C155C18_13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